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Master Timeline" sheetId="2" state="visible" r:id="rId4"/>
    <sheet name="Kevin Contact Log" sheetId="3" state="visible" r:id="rId5"/>
    <sheet name="JK Events" sheetId="4" state="visible" r:id="rId6"/>
    <sheet name="Flags" sheetId="5" state="visible" r:id="rId7"/>
    <sheet name="Sources" sheetId="6" state="visible" r:id="rId8"/>
  </sheets>
  <definedNames>
    <definedName function="false" hidden="true" localSheetId="4" name="_xlnm._FilterDatabase" vbProcedure="false">Flags!$A$1:$C$49</definedName>
    <definedName function="false" hidden="true" localSheetId="3" name="_xlnm._FilterDatabase" vbProcedure="false">'JK Events'!$A$1:$M$22</definedName>
    <definedName function="false" hidden="true" localSheetId="2" name="_xlnm._FilterDatabase" vbProcedure="false">'Kevin Contact Log'!$A$1:$G$34</definedName>
    <definedName function="false" hidden="true" localSheetId="1" name="_xlnm._FilterDatabase" vbProcedure="false">'Master Timeline'!$A$1:$G$76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<sst xmlns="http://schemas.openxmlformats.org/spreadsheetml/2006/main" count="924" uniqueCount="541">
  <si>
    <t xml:space="preserve">Consolidated Timeline – Jesica / Kevin Lewis</t>
  </si>
  <si>
    <t xml:space="preserve">Built</t>
  </si>
  <si>
    <t xml:space="preserve">2026-10-02 (rev 3 – 2024 rows confirmed as pre-relationship context)</t>
  </si>
  <si>
    <t xml:space="preserve">Prepared for</t>
  </si>
  <si>
    <t xml:space="preserve">Jeremiah Cargill – personal records / attorney reference</t>
  </si>
  <si>
    <t xml:space="preserve">Key dates</t>
  </si>
  <si>
    <t xml:space="preserve">Jeremiah &amp; Jesica connected Aug 28 2025; married Oct 10 2025 (stated by Jeremiah). All JK dating/engagement phases are placed inside that six-week window.</t>
  </si>
  <si>
    <t xml:space="preserve">Sheets</t>
  </si>
  <si>
    <t xml:space="preserve">Master Timeline</t>
  </si>
  <si>
    <t xml:space="preserve">Every dated item merged chronologically: Kevin-contact days (message export), JK-001..021 events (dates approximate – ordered by phase), documents, screenshots, milestones.</t>
  </si>
  <si>
    <t xml:space="preserve">Kevin Contact Log</t>
  </si>
  <si>
    <t xml:space="preserve">All 33 days with Jesica↔Kevin activity, Nov 2025–Mar 2026 (export covers through Apr 2026), with Kevin-side text, counts and analysis flags.</t>
  </si>
  <si>
    <t xml:space="preserve">JK Events</t>
  </si>
  <si>
    <t xml:space="preserve">The 21-event structured dataset exactly as exported Mar 13 2026.</t>
  </si>
  <si>
    <t xml:space="preserve">Flags</t>
  </si>
  <si>
    <t xml:space="preserve">Every ⚠/🚨 analysis flag from the side-by-side sheet, one per row, dated.</t>
  </si>
  <si>
    <t xml:space="preserve">Sources</t>
  </si>
  <si>
    <t xml:space="preserve">Index of every source file with Drive/GitHub location.</t>
  </si>
  <si>
    <t xml:space="preserve">Evidence labels</t>
  </si>
  <si>
    <t xml:space="preserve">confirmed = from a message export, screenshot or document in Drive/GitHub.  reported = Jeremiah's own written account (JK dataset, reconstructed threads).  stated = said in conversation.  JK-001/003/004 are 2024 context only: Jesica–Kevin history before Jeremiah (confirmed by Jeremiah, Oct 2 2026) – included to show the prior romantic involvement, not events involving him.</t>
  </si>
  <si>
    <t xml:space="preserve">Caution</t>
  </si>
  <si>
    <t xml:space="preserve">Do not send this file to Jesica or Kevin. Keep it with the raw exports for your attorney. The jlewis GitHub repo was public as of Oct 2 2026 – make it private.</t>
  </si>
  <si>
    <t xml:space="preserve">#</t>
  </si>
  <si>
    <t xml:space="preserve">Date</t>
  </si>
  <si>
    <t xml:space="preserve">Type</t>
  </si>
  <si>
    <t xml:space="preserve">What happened</t>
  </si>
  <si>
    <t xml:space="preserve">Source</t>
  </si>
  <si>
    <t xml:space="preserve">Evidence label</t>
  </si>
  <si>
    <t xml:space="preserve">Flag</t>
  </si>
  <si>
    <t xml:space="preserve">JK event (Prior relationship history) – pre-relationship</t>
  </si>
  <si>
    <t xml:space="preserve">JK-001: Romantic/sexual relationship transitioned to friendship without clear closure. → Possible unresolved emotional attachment.</t>
  </si>
  <si>
    <t xml:space="preserve">jesica_kevin_relationship_dataset.csv</t>
  </si>
  <si>
    <t xml:space="preserve">reported by Jeremiah (severity 3) – date approximate; pre-relationship context – Jesica/Kevin history before Aug 2025 (confirmed by Jeremiah)</t>
  </si>
  <si>
    <t xml:space="preserve">JK event (Spring 2024) – pre-relationship</t>
  </si>
  <si>
    <t xml:space="preserve">JK-003: Romantic involvement reportedly continued until approx. May 2024. → Overlap undermined trust once disclosed later.</t>
  </si>
  <si>
    <t xml:space="preserve">reported by Jeremiah (severity 4) – date approximate; pre-relationship context – Jesica/Kevin history before Aug 2025 (confirmed by Jeremiah)</t>
  </si>
  <si>
    <t xml:space="preserve">JK event (Jun 2024) – pre-relationship</t>
  </si>
  <si>
    <t xml:space="preserve">JK-004: Expressed avoidance of commitment and preference for distance and low obligation. → Potential misalignment with marriage expectations.</t>
  </si>
  <si>
    <t xml:space="preserve">Milestone</t>
  </si>
  <si>
    <t xml:space="preserve">Jeremiah and Jesica connect (relationship begins)</t>
  </si>
  <si>
    <t xml:space="preserve">Jeremiah (stated Oct 2 2026)</t>
  </si>
  <si>
    <t xml:space="preserve">stated</t>
  </si>
  <si>
    <t xml:space="preserve">JK event (Early dating phase)</t>
  </si>
  <si>
    <t xml:space="preserve">JK-002: Continued contact with Kevin while beginning relationship with Jeremiah. → Jeremiah entered the relationship without full context.</t>
  </si>
  <si>
    <t xml:space="preserve">reported by Jeremiah (severity 3) – date approximate; placed within Aug 28–Oct 10 2025 courtship</t>
  </si>
  <si>
    <t xml:space="preserve">JK event (Dating → engagement)</t>
  </si>
  <si>
    <t xml:space="preserve">JK-005: Kevin referenced using alias 'Andrew'. → Created secrecy and confusion.</t>
  </si>
  <si>
    <t xml:space="preserve">reported by Jeremiah (severity 4) – date approximate; placed within Aug 28–Oct 10 2025 courtship</t>
  </si>
  <si>
    <t xml:space="preserve">JK event (Post-engagement)</t>
  </si>
  <si>
    <t xml:space="preserve">JK-006: Alias continued and identity not clearly disclosed. → Perception of prioritizing Kevin's privacy over transparency.</t>
  </si>
  <si>
    <t xml:space="preserve">JK event (Engagement period)</t>
  </si>
  <si>
    <t xml:space="preserve">JK-007: Kevin reportedly not informed of engagement. → Maintained ambiguity.</t>
  </si>
  <si>
    <t xml:space="preserve">JK event (Marriage)</t>
  </si>
  <si>
    <t xml:space="preserve">JK-008: Kevin discovered marriage through Facebook rather than direct communication. → Emotional reaction reported.</t>
  </si>
  <si>
    <t xml:space="preserve">Marriage date (Jeremiah &amp; Jesica) – six weeks after connecting</t>
  </si>
  <si>
    <t xml:space="preserve">Jeremiah (stated); dataset context.marriage_date</t>
  </si>
  <si>
    <t xml:space="preserve">confirmed</t>
  </si>
  <si>
    <t xml:space="preserve">JK event (After discovery)</t>
  </si>
  <si>
    <t xml:space="preserve">JK-009: Kevin expressed anger and inability to remain friends. → Indicated unresolved connection.</t>
  </si>
  <si>
    <t xml:space="preserve">reported by Jeremiah (severity 4) – date approximate</t>
  </si>
  <si>
    <t xml:space="preserve">JK event (Shortly after)</t>
  </si>
  <si>
    <t xml:space="preserve">JK-010: Deleted messages recovered and contact resumed. → Reinforced emotional significance.</t>
  </si>
  <si>
    <t xml:space="preserve">JK event (Post-marriage)</t>
  </si>
  <si>
    <t xml:space="preserve">JK-011: Communication continued without clearly defined boundaries. → Trust uncertainty increased.</t>
  </si>
  <si>
    <t xml:space="preserve">Kevin contact</t>
  </si>
  <si>
    <t xml:space="preserve">⚠ Negotiating access to items / time together; ⚠ References planned Coushatta trip together; ⚠ References how they reconnected; ⚠ Kevin directing Jesica to make him feel special</t>
  </si>
  <si>
    <t xml:space="preserve">jesica_sidebyside (Kevin↔Jesica: 4 from Kevin, 4 from Jesica; Jere↔Jesica: 22 msgs)</t>
  </si>
  <si>
    <t xml:space="preserve">confirmed (message export)</t>
  </si>
  <si>
    <t xml:space="preserve">⚠</t>
  </si>
  <si>
    <t xml:space="preserve">⚠ Jesica offering personal gifts for his home; 🚨 Jesica planning solo visit to Kevin's home with priority project list — pre-marriage</t>
  </si>
  <si>
    <t xml:space="preserve">jesica_sidebyside (Kevin↔Jesica: 1 from Kevin, 2 from Jesica; Jere↔Jesica: 13 msgs)</t>
  </si>
  <si>
    <t xml:space="preserve">🚨</t>
  </si>
  <si>
    <t xml:space="preserve">⚠ Involved in his family/personal life</t>
  </si>
  <si>
    <t xml:space="preserve">jesica_sidebyside (Kevin↔Jesica: 1 from Kevin, 1 from Jesica; Jere↔Jesica: 3 msgs)</t>
  </si>
  <si>
    <t xml:space="preserve">[8:34 PM] [KEVIN] But it's just my opinion so it doesn't matter</t>
  </si>
  <si>
    <t xml:space="preserve">jesica_sidebyside (Kevin↔Jesica: 2 from Kevin, 0 from Jesica; Jere↔Jesica: 4 msgs)</t>
  </si>
  <si>
    <t xml:space="preserve">🚨 'We chose them' — Jesica involved in choosing materials for Kevin's home; 🚨 Kevin asking about Jere's living situation; 🚨 Jesica discussing Jere's living situation with Kevin; ⚠ Kevin reacting to Jere not moving in; ⚠ Kevin commenting negatively on Jere situation</t>
  </si>
  <si>
    <t xml:space="preserve">jesica_sidebyside (Kevin↔Jesica: 5 from Kevin, 5 from Jesica; Jere↔Jesica: 31 msgs)</t>
  </si>
  <si>
    <t xml:space="preserve">⚠ Intimate ownership of his project; 🚨 Implies showing up was normal/expected before; ⚠ Kevin feels entitled to her presence; ⚠ Jesica was waiting to be invited back to his home; ⚠ Jesica disappointed she couldn't come to Kevin's sooner; ⚠ Kevin now says it's 'weird' — shift in tone post-marriage; 🚨 Confirms prior pattern of visiting was normal — pre-marriage; 🚨 Jesica spent prior Thanksgiving with Kevin; ⚠ Kevin expects her presence at his Thanksgiving</t>
  </si>
  <si>
    <t xml:space="preserve">jesica_sidebyside (Kevin↔Jesica: 8 from Kevin, 8 from Jesica; Jere↔Jesica: None msgs)</t>
  </si>
  <si>
    <t xml:space="preserve">⚠ Jesica planning to come to Kevin's home to cook</t>
  </si>
  <si>
    <t xml:space="preserve">jesica_sidebyside (Kevin↔Jesica: 3 from Kevin, 2 from Jesica; Jere↔Jesica: 11 msgs)</t>
  </si>
  <si>
    <t xml:space="preserve">[5:45 PM] [KEVIN] Spaghetti tonight / Turkey and everything tomorrow</t>
  </si>
  <si>
    <t xml:space="preserve">jesica_sidebyside (Kevin↔Jesica: 2 from Kevin, 1 from Jesica; Jere↔Jesica: 31 msgs)</t>
  </si>
  <si>
    <t xml:space="preserve">[KEVIN] What them Lewis boys doing / They went home / There's work to be done here 🐒 get on it</t>
  </si>
  <si>
    <t xml:space="preserve">jesica_sidebyside (Kevin↔Jesica: 3 from Kevin, 3 from Jesica; Jere↔Jesica: 211 msgs)</t>
  </si>
  <si>
    <t xml:space="preserve">⚠ Buying Kevin's kids gifts; ⚠ Jesica has a Netflix profile created for Kevin</t>
  </si>
  <si>
    <t xml:space="preserve">jesica_sidebyside (Kevin↔Jesica: 2 from Kevin, 2 from Jesica; Jere↔Jesica: 27 msgs)</t>
  </si>
  <si>
    <t xml:space="preserve">⚠ Jesica noting who he'd take — awareness of replacement</t>
  </si>
  <si>
    <t xml:space="preserve">jesica_sidebyside (Kevin↔Jesica: 1 from Kevin, 1 from Jesica; Jere↔Jesica: 5 msgs)</t>
  </si>
  <si>
    <t xml:space="preserve">JK event (Early December)</t>
  </si>
  <si>
    <t xml:space="preserve">JK-012: Commitment to assist Kevin onsite without prior discussion. → Introduced future conflict.</t>
  </si>
  <si>
    <t xml:space="preserve">⚠ Kevin expects Jesica to hand-deliver son's gift</t>
  </si>
  <si>
    <t xml:space="preserve">jesica_sidebyside (Kevin↔Jesica: 3 from Kevin, 4 from Jesica; Jere↔Jesica: 50 msgs)</t>
  </si>
  <si>
    <t xml:space="preserve">[10:17 PM] [JESICA] Check out what I found at Lowe's - 2-in Red Rubber Toilet gasket [link]</t>
  </si>
  <si>
    <t xml:space="preserve">jesica_sidebyside (Kevin↔Jesica: 1 from Kevin, 1 from Jesica; Jere↔Jesica: 35 msgs)</t>
  </si>
  <si>
    <t xml:space="preserve">JK event (After concerns raised)</t>
  </si>
  <si>
    <t xml:space="preserve">JK-013: Issue framed to Kevin as 'Jeremiah isn't okay with it'. → Positioned Jeremiah as obstacle rather than shared boundary.</t>
  </si>
  <si>
    <t xml:space="preserve">reported by Jeremiah (severity 5) – date approximate</t>
  </si>
  <si>
    <t xml:space="preserve">JK event (Continued involvement)</t>
  </si>
  <si>
    <t xml:space="preserve">JK-014: Extended FaceTime project assistance. → Time and emotional energy diverted.</t>
  </si>
  <si>
    <t xml:space="preserve">reported by Jeremiah (severity 3) – date approximate</t>
  </si>
  <si>
    <t xml:space="preserve">⚠ Personalizing Kevin's son's gift with the Lewis name; ⚠ Jesica monitoring his finances, roof, car</t>
  </si>
  <si>
    <t xml:space="preserve">jesica_sidebyside (Kevin↔Jesica: 3 from Kevin, 4 from Jesica; Jere↔Jesica: 33 msgs)</t>
  </si>
  <si>
    <t xml:space="preserve">Document</t>
  </si>
  <si>
    <t xml:space="preserve">"K LOU" impact sheet created (first written record of concerns: alias "Andrew", engagement not disclosed, deleted/recovered thread)</t>
  </si>
  <si>
    <t xml:space="preserve">Drive: K LOU (Sheet)</t>
  </si>
  <si>
    <t xml:space="preserve">🚨 'Buy US one' — Jesica referencing herself as part of Kevin's household; 🚨 Jesica explicitly equating herself and Kevin as a unit; ⚠ Acknowledges she's not Kevin's family but still deeply involved</t>
  </si>
  <si>
    <t xml:space="preserve">jesica_sidebyside (Kevin↔Jesica: 4 from Kevin, 5 from Jesica; Jere↔Jesica: 28 msgs)</t>
  </si>
  <si>
    <t xml:space="preserve">Message</t>
  </si>
  <si>
    <t xml:space="preserve">Jesica text: "I'm done talking about Kevin" – Jeremiah responds re: avoidance since Wednesday</t>
  </si>
  <si>
    <t xml:space="preserve">Drive screenshot IMG_7197.PNG</t>
  </si>
  <si>
    <t xml:space="preserve">JK event (Added support)</t>
  </si>
  <si>
    <t xml:space="preserve">JK-015: Netflix access and Amazon purchases handled. → Involvement appeared to increase.</t>
  </si>
  <si>
    <t xml:space="preserve">🚨 'WE had planned' — Jesica references joint plans with Kevin; 🚨 Jesica committed to visit BEFORE telling Jere — Jere framed as obstacle</t>
  </si>
  <si>
    <t xml:space="preserve">jesica_sidebyside (Kevin↔Jesica: 3 from Kevin, 5 from Jesica; Jere↔Jesica: 73 msgs)</t>
  </si>
  <si>
    <t xml:space="preserve">JK event (Conversation)</t>
  </si>
  <si>
    <t xml:space="preserve">JK-016: Discussion of future visits; statement Jeremiah 'doesn't understand yet'. → Undermined marital unity.</t>
  </si>
  <si>
    <t xml:space="preserve">Boundary letter to Jesica: no solo travel / projects centered on Kevin while marriage &amp; finances stabilize</t>
  </si>
  <si>
    <t xml:space="preserve">Drive: Kevin-set-boundary (Doc)</t>
  </si>
  <si>
    <t xml:space="preserve">JK event (Boundary request)</t>
  </si>
  <si>
    <t xml:space="preserve">JK-017: Jeremiah requested separation from Kevin-related communication. → Boundary acknowledged verbally.</t>
  </si>
  <si>
    <t xml:space="preserve">reported by Jeremiah (severity 2) – date approximate</t>
  </si>
  <si>
    <t xml:space="preserve">Friend's advice received: do not message Kevin; let Jesica enforce the boundary herself</t>
  </si>
  <si>
    <t xml:space="preserve">Drive: my friends advice.docx</t>
  </si>
  <si>
    <t xml:space="preserve">Timeline-Cause-Effect.xlsx created</t>
  </si>
  <si>
    <t xml:space="preserve">Drive: Timeline-Cause-Effect.xlsx</t>
  </si>
  <si>
    <t xml:space="preserve">🚨 Thread deleted same day Jere set boundary/expectation (Dec 24). No texts visible after this date.</t>
  </si>
  <si>
    <t xml:space="preserve">jesica_sidebyside (Kevin↔Jesica: 0 from Kevin, 0 from Jesica; Jere↔Jesica: 40 msgs)</t>
  </si>
  <si>
    <t xml:space="preserve">⚠ 1st of 3 Kevin-initiated calls same day; ⚠ 2nd call same day; 🚨 3rd call NYE — 46 total minutes Dec 31</t>
  </si>
  <si>
    <t xml:space="preserve">jesica_sidebyside (Kevin↔Jesica: None from Kevin, None from Jesica; Jere↔Jesica: 60 msgs)</t>
  </si>
  <si>
    <t xml:space="preserve">JK event (After boundary)</t>
  </si>
  <si>
    <t xml:space="preserve">JK-018: Contact reportedly continued. → Perceived boundary violation.</t>
  </si>
  <si>
    <t xml:space="preserve">🚨 Longest call — New Year's Day. Kevin calls Jesica.</t>
  </si>
  <si>
    <t xml:space="preserve">jesica_sidebyside (Kevin↔Jesica: None from Kevin, None from Jesica; Jere↔Jesica: 9 msgs)</t>
  </si>
  <si>
    <t xml:space="preserve">🚨 THE RECORDED CALL. Jesica calls Kevin. Jere records this call. Leads to Jan 6 confrontation.</t>
  </si>
  <si>
    <t xml:space="preserve">jesica_sidebyside (Kevin↔Jesica: None from Kevin, None from Jesica; Jere↔Jesica: 67 msgs)</t>
  </si>
  <si>
    <t xml:space="preserve">JK event (Expectation discussion)</t>
  </si>
  <si>
    <t xml:space="preserve">JK-019: Jeremiah communicated expectations and possible message to Kevin. → Attempted conflict resolution.</t>
  </si>
  <si>
    <t xml:space="preserve">Early-January exchange: Jeremiah asks if she intends to message Kevin again; Jesica: "creepy, shadowing" / threatens to toss phone; "I'm granting you grace for now"</t>
  </si>
  <si>
    <t xml:space="preserve">Drive screenshots IMG_7212/7214/7215/7220</t>
  </si>
  <si>
    <t xml:space="preserve">🚨 Relationship crisis — confrontation over Kevin calls</t>
  </si>
  <si>
    <t xml:space="preserve">jesica_sidebyside (Kevin↔Jesica: 0 from Kevin, 0 from Jesica; Jere↔Jesica: 43 msgs)</t>
  </si>
  <si>
    <t xml:space="preserve">[BOTH] Communications — kid-related topic</t>
  </si>
  <si>
    <t xml:space="preserve">jesica_sidebyside (Kevin↔Jesica: 0 from Kevin, 0 from Jesica; Jere↔Jesica: None msgs)</t>
  </si>
  <si>
    <t xml:space="preserve">JK event (Present)</t>
  </si>
  <si>
    <t xml:space="preserve">JK-020: Message thread with Kevin deleted. → Transparency concerns.</t>
  </si>
  <si>
    <t xml:space="preserve">[KEVIN] Sends meme</t>
  </si>
  <si>
    <t xml:space="preserve">jesica_sidebyside (Kevin↔Jesica: 1 from Kevin, 0 from Jesica; Jere↔Jesica: 20 msgs)</t>
  </si>
  <si>
    <t xml:space="preserve">⚠ Jesica both responds AND initiates</t>
  </si>
  <si>
    <t xml:space="preserve">[KEVIN] Sends 2 responses</t>
  </si>
  <si>
    <t xml:space="preserve">jesica_sidebyside (Kevin↔Jesica: 1 from Kevin, 0 from Jesica; Jere↔Jesica: None msgs)</t>
  </si>
  <si>
    <t xml:space="preserve">⚠ Kevin sending personal artwork; ⚠ Warm personal response to Kevin's artwork</t>
  </si>
  <si>
    <t xml:space="preserve">jesica_sidebyside (Kevin↔Jesica: 1 from Kevin, 1 from Jesica; Jere↔Jesica: None msgs)</t>
  </si>
  <si>
    <t xml:space="preserve">⚠ Jesica initiates via SMS — reaching out proactively</t>
  </si>
  <si>
    <t xml:space="preserve">[KEVIN] Sends video clip of girls basketball game</t>
  </si>
  <si>
    <t xml:space="preserve">⚠ Jesica initiates separate SMS about Spurs</t>
  </si>
  <si>
    <t xml:space="preserve">jesica_sidebyside (Kevin↔Jesica: 1 from Kevin, 2 from Jesica; Jere↔Jesica: None msgs)</t>
  </si>
  <si>
    <t xml:space="preserve">[JESICA] Responds via text</t>
  </si>
  <si>
    <t xml:space="preserve">jesica_sidebyside (Kevin↔Jesica: 0 from Kevin, 1 from Jesica; Jere↔Jesica: 11 msgs)</t>
  </si>
  <si>
    <t xml:space="preserve">JK event (Recent two weeks)</t>
  </si>
  <si>
    <t xml:space="preserve">JK-021: Jesica reportedly minimized communication after discussions. → Repair attempt and boundary improvement.</t>
  </si>
  <si>
    <t xml:space="preserve">reported by Jeremiah (severity 1) – date approximate</t>
  </si>
  <si>
    <t xml:space="preserve">⚠ Jesica initiates again about Kevin's activity</t>
  </si>
  <si>
    <t xml:space="preserve">⚠ Planning future together — Jesica initiates</t>
  </si>
  <si>
    <t xml:space="preserve">jesica_sidebyside (Kevin↔Jesica: 0 from Kevin, 1 from Jesica; Jere↔Jesica: 34 msgs)</t>
  </si>
  <si>
    <t xml:space="preserve">🚨 Persistence + escalation when ignored. 'Don't ignore' = emotional investment. 4 initiations in one day.</t>
  </si>
  <si>
    <t xml:space="preserve">Structured JK-001..021 dataset exported (csv/xlsx/json + timeline png)</t>
  </si>
  <si>
    <t xml:space="preserve">Drive: jesica_kevin_relationship_dataset.*</t>
  </si>
  <si>
    <t xml:space="preserve">Evidence</t>
  </si>
  <si>
    <t xml:space="preserve">Screenshots of Jesica↔Kevin thread captured (Lewis boys, Thanksgiving, "the way Kevin Lewis operates")</t>
  </si>
  <si>
    <t xml:space="preserve">Drive screenshots IMG_0190/0195/0214/0217</t>
  </si>
  <si>
    <t xml:space="preserve">Raw iMessage export Jere↔Jesica (Nov 2 2025 onward) saved</t>
  </si>
  <si>
    <t xml:space="preserve">Drive: jes-jere-recent txt.xlsx</t>
  </si>
  <si>
    <t xml:space="preserve">Side-by-side log built (127 Kevin records / 33 days vs 3,949 Jere msgs / 101 days; 23 overlap days)</t>
  </si>
  <si>
    <t xml:space="preserve">Drive: jesica_sidebyside (Sheet)</t>
  </si>
  <si>
    <t xml:space="preserve">Statement doc: concerns reframed as "control"; passcode changes, deleted messages, confiding in Kevin about the marriage</t>
  </si>
  <si>
    <t xml:space="preserve">Drive: jcargillx2@gmail.com (Doc)</t>
  </si>
  <si>
    <t xml:space="preserve">Event</t>
  </si>
  <si>
    <t xml:space="preserve">Satirical "J. Lewis" blog sent to Jesica and Kevin via group text from a third phone; conflict thread follows ("Still sharing marital problems with your man" / "Get a grip")</t>
  </si>
  <si>
    <t xml:space="preserve">GitHub jeremiah9980/jlewis – docs/reconstructed_jesica_kevin_conflict_thread_2026-05-27.md</t>
  </si>
  <si>
    <t xml:space="preserve">reported (reconstructed)</t>
  </si>
  <si>
    <t xml:space="preserve">"Happy July — The Season of Unfinished Goodbyes" page (honeymoon-cruise season / recurring contact)</t>
  </si>
  <si>
    <t xml:space="preserve">GitHub jeremiah9980/jlewis – index.html</t>
  </si>
  <si>
    <t xml:space="preserve">reported</t>
  </si>
  <si>
    <t xml:space="preserve">Letter to Jesica: "I cannot continue to uphold a marriage where I am not valued"; Nov–Jan planning with Kevin while asking for space</t>
  </si>
  <si>
    <t xml:space="preserve">GitHub jeremiah9980/jlewis – jesica_letter.html</t>
  </si>
  <si>
    <t xml:space="preserve">Context</t>
  </si>
  <si>
    <t xml:space="preserve">Cooper's accident (referenced in Jesica↔Eric thread)</t>
  </si>
  <si>
    <t xml:space="preserve">IMG_3435.mov transcript</t>
  </si>
  <si>
    <t xml:space="preserve">Jesica↔Kevin Messenger thread active ("What a game"; Sep 26 cat / Pops burial; Mon Sep 28 video + "Bro.... Yo gay ass be doing this shit"; disappearing messages toggled on/off)</t>
  </si>
  <si>
    <t xml:space="preserve">IMG_3435.mov transcript (Kevin Lewis thread)</t>
  </si>
  <si>
    <t xml:space="preserve">Email to Jesica "10 days till 10-10": anniversary line restated, "I'm stepping back"</t>
  </si>
  <si>
    <t xml:space="preserve">Gmail screenshot IMG_3496/3497</t>
  </si>
  <si>
    <t xml:space="preserve">Text exchange: Jesica deflects to passwords; Jeremiah "After 10-10 and it's still a thing I want divorce"; Jesica "I'm right there with you, so at least we're on the same page"; long message re: counseling offer / name / Kevin</t>
  </si>
  <si>
    <t xml:space="preserve">iMessage screenshots IMG_3524/3525 + Jeremiah's message</t>
  </si>
  <si>
    <t xml:space="preserve">Deadline</t>
  </si>
  <si>
    <t xml:space="preserve">First anniversary – stated line: if contact continues past this date, Jeremiah is out</t>
  </si>
  <si>
    <t xml:space="preserve">Jeremiah (stated)</t>
  </si>
  <si>
    <t xml:space="preserve">Totals</t>
  </si>
  <si>
    <t xml:space="preserve">Kevin-contact days</t>
  </si>
  <si>
    <t xml:space="preserve">Critical (🚨) rows</t>
  </si>
  <si>
    <t xml:space="preserve">All rows</t>
  </si>
  <si>
    <t xml:space="preserve">Day</t>
  </si>
  <si>
    <t xml:space="preserve">Jesica ↔ Kevin (text as logged)</t>
  </si>
  <si>
    <t xml:space="preserve">Kevin→J</t>
  </si>
  <si>
    <t xml:space="preserve">J→Kevin</t>
  </si>
  <si>
    <t xml:space="preserve">Jere↔Jesica msgs same day</t>
  </si>
  <si>
    <t xml:space="preserve">Analysis flags</t>
  </si>
  <si>
    <t xml:space="preserve">Sun</t>
  </si>
  <si>
    <t xml:space="preserve">[5:58 PM] [JESICA] Let me see Candy Cane lights please
[KEVIN] How much for stuff in closet and time to meet somewhere Thursday or Friday?
[JESICA] Ahhhhhh ok I see what's going on here
[KEVIN] We don't talk 😂. It happened when we were supposed to be at Coushatta
[JESICA] That's rude / Why u say we don't talk? / Thats news to me.... I thought we did
[KEVIN] Boy shut up, they're definitely was a photo when you slid in my DM's
[KEVIN] They've been gone. Sorry wrong person but we are talking about you / Fix it and make someone feel special / Don't try to turn shit around
[11:45 PM] [JESICA] Were you able to save the Sago palm? Or did you just dig it up and toss it?</t>
  </si>
  <si>
    <t xml:space="preserve">⚠ Negotiating access to items / time together
⚠ References planned Coushatta trip together
⚠ References how they reconnected
⚠ Kevin directing Jesica to make him feel special</t>
  </si>
  <si>
    <t xml:space="preserve">Mon</t>
  </si>
  <si>
    <t xml:space="preserve">[7:32 PM] [JESICA] Question: If I made you a Christmas wreath, and bought you a door hanger....would you hang it on your front door?
[JESICA] Wellll yassss duh BUT It would be good to know, what is most important....
1. Pergola
2. Fireplace
3. Corner shelf
4. Outdoor lights
Id prefer to come over with a goal in mind, like if only 1 and 2 get accomplished I would be OK with that...
[KEVIN] Perfect / Serious</t>
  </si>
  <si>
    <t xml:space="preserve">⚠ Jesica offering personal gifts for his home
🚨 Jesica planning solo visit to Kevin's home with priority project list — pre-marriage</t>
  </si>
  <si>
    <t xml:space="preserve">Tue</t>
  </si>
  <si>
    <t xml:space="preserve">[12:29 PM] [JESICA] Is Santa bringing D or Phil Christmas gifts this year.... I just thought of a funny Christmas gift prank for you to do on either one of them!
[7:44 PM] [KEVIN] Christmas is cancelled</t>
  </si>
  <si>
    <t xml:space="preserve">[8:34 PM] [KEVIN] But it's just my opinion so it doesn't matter
[11:21 PM] [KEVIN] You'll be ok</t>
  </si>
  <si>
    <t xml:space="preserve">[2:12 PM] [JESICA] I like the other side / Too dark like you're soul
[KEVIN] Well it's mine / Thanks for the positive feedback
[JESICA] It looks great / I thought you were replacing the roof first
[KEVIN] No I said stain first so it won't matter if that gets stain on it
[JESICA] Oh yeah, that's right.... I didn't think that privacy wall was something that needed to be stained.... The boards were already discolored which is why we chose them
[KEVIN] Why hasn't he moved in yet
[JESICA] His kids and life is in Austin
[KEVIN] Wtf / Weird / None of my business but wow
[JESICA] It's all weird.... whole thing / 🫡 am weird
[KEVIN] No good words that is for sure</t>
  </si>
  <si>
    <t xml:space="preserve">🚨 'We chose them' — Jesica involved in choosing materials for Kevin's home
🚨 Kevin asking about Jere's living situation
🚨 Jesica discussing Jere's living situation with Kevin
⚠ Kevin reacting to Jere not moving in
⚠ Kevin commenting negatively on Jere situation</t>
  </si>
  <si>
    <t xml:space="preserve">[9:00 AM] [JESICA] Ashton mentioned pool today 🏊
[BOTH] He wants one / I do too and so does Blake / Get you one / One day
[11:09 AM] [KEVIN] Doesn't matter if you are here or not. I get up and work. / Finished at 10am and went to Dr appointment
[JESICA] Don't act like I prevented us from getting work done.... / What did you go to the doctor for?
[JESICA] Let me see what you've done.... so I can multiply it by two cause that's how much would have been done if I was there....
[KEVIN] I finished / That's what I'm saying- I work / I don't fuck around
[2:00 PM] [KEVIN] You still have that enclosure in your closet? Is it from the shade doctor?
[JESICA] And if I show up, I'm crazy
[KEVIN] I invited you. You were off doing other dumb shit
[JESICA] Negative no, you didn't. I have been waiting. / Patiently
[9:20 PM] [KEVIN] Don't be mad
[10:51 PM] [JESICA] Im not mad, I'm disappointed that you didn't let me come over sooner to finish
[10:51 PM] [KEVIN] Why would you come over / That's weird
[10:51 PM] [JESICA] Weird now maybe but previously it wasn't
[10:51 PM] [KEVIN] Well it didn't happen then. It happened now
[10:51 PM] [JESICA] I know Kevin / I enjoyed my Thanksgiving last year
[10:51 PM] [KEVIN] You will this year as well in Austin</t>
  </si>
  <si>
    <t xml:space="preserve">⚠ Intimate ownership of his project
🚨 Implies showing up was normal/expected before
⚠ Kevin feels entitled to her presence
⚠ Jesica was waiting to be invited back to his home
⚠ Jesica disappointed she couldn't come to Kevin's sooner
⚠ Kevin now says it's 'weird' — shift in tone post-marriage
🚨 Confirms prior pattern of visiting was normal — pre-marriage
🚨 Jesica spent prior Thanksgiving with Kevin
⚠ Kevin expects her presence at his Thanksgiving</t>
  </si>
  <si>
    <t xml:space="preserve">Wed</t>
  </si>
  <si>
    <t xml:space="preserve">[KEVIN] $800 to replace fiberglass
[JESICA] That's chump change
[11:43 AM] [KEVIN] I lost that
[12:49 PM] [KEVIN] Are you cooking in Austin tomorrow
[12:49 PM] [JESICA] 🌝 Im coming over to help you cook silly man!</t>
  </si>
  <si>
    <t xml:space="preserve">Thu</t>
  </si>
  <si>
    <t xml:space="preserve">[5:45 PM] [KEVIN] Spaghetti tonight / Turkey and everything tomorrow
[5:45 PM] [JESICA] Looks good / Yymnnn I love spaghetti
[5:45 PM] [KEVIN] Thanks / See I can do stuff</t>
  </si>
  <si>
    <t xml:space="preserve">[KEVIN] What them Lewis boys doing / They went home / There's work to be done here 🐒 get on it
[JESICA] ohhhh shit 🌝 What about D&amp;M?
[KEVIN] I know D helped with the lights, don't try to lie
[JESICA] Ain't no way that fat ass got on the roof
[7:51 PM] [KEVIN] Impressed with? / You said you know how to get dents out of garage?
[JESICA] I'm not a professional, but based on all the videos I've seen, could totally get the [dents out]
[BOTH] I know you just got paid / What credit? You all used up / I didn't get paid / Let me hold something</t>
  </si>
  <si>
    <t xml:space="preserve">[8:43 PM] [JESICA] I wanna get the Levi boys something for Christmas....what's Santa bringing them?!?
[KEVIN] Usual stuff / Jerseys, hat, ice cream socks, wrestlers
[10:31 PM] [KEVIN] Last day for Netflix / You cancelled my shit
[10:31 PM] [JESICA] Ohhhhhhh shit, that means you'll have to login under my credentials and use the profile created for you</t>
  </si>
  <si>
    <t xml:space="preserve">⚠ Buying Kevin's kids gifts
⚠ Jesica has a Netflix profile created for Kevin</t>
  </si>
  <si>
    <t xml:space="preserve">[KEVIN] Jo Koy coming to CC / Feb 5
[JESICA] Lucky you and the person you go with. Hopefully they enjoy him just as much as you do if not, that would be weird
[BOTH] Bruh they don't give a f about the Spurs / And besides that who would be taking them to the game?!? / You?! / They want to go / Duh</t>
  </si>
  <si>
    <t xml:space="preserve">[12:32 PM] [JESICA] What make and model iPad?
[KEVIN] Idk 🌝 / Oh wait / For iPad
[5:11 PM] [JESICA] Do u have a case color preference?
[5:11 PM] [KEVIN] Black or grey / When will you get this for him. Because I know you and your rules????
[5:11 PM] [JESICA] I'll be purchasing at some point maybe tonight or tomorrow....is that timeframe acceptable sir?
[5:11 PM] [KEVIN] I was talking about you saying you have to hand deliver it or some shit
[5:11 PM] [JESICA] Bro 🤜 / you don't listen / birthdays only that's the special day</t>
  </si>
  <si>
    <t xml:space="preserve">[10:17 PM] [JESICA] Check out what I found at Lowe's - 2-in Red Rubber Toilet gasket [link]
[10:17 PM] [KEVIN] Thanks</t>
  </si>
  <si>
    <t xml:space="preserve">Sat</t>
  </si>
  <si>
    <t xml:space="preserve">[KEVIN] [Grifobes iPad Case link]
[JESICA] I'm gonna get a vinyl sticker made that I'm gonna stick on his case that says Blake Lewis
[KEVIN] Looks good / Ok / Thanks
[JESICA] And I'll do this for Ashton
[10:02 PM] [JESICA] You're going to Coushatta during Christmas break?!?
[10:02 PM] [KEVIN] Probably / Need to use one of my flight credits and they wouldn't let me use for Vegas in July / Before July
[10:02 PM] [JESICA] Ohhhh okay, why not Spring Break instead? December is a tough month to go gambling....with Christmas and you need a new roof / Whats the status on mustang?</t>
  </si>
  <si>
    <t xml:space="preserve">⚠ Personalizing Kevin's son's gift with the Lewis name
⚠ Jesica monitoring his finances, roof, car</t>
  </si>
  <si>
    <t xml:space="preserve">[6:47 AM] [KEVIN] Spring break has softball and nothing much to bet on / No / For iPad
[JESICA] Do you know what a Murphy bed is? / I want one
[5:33 PM] [KEVIN] [Corner Cabinet link target.com] / Put it together for me
[5:33 PM] [JESICA] I mean, yes it would go in the corner but wouldnt be my pick
[KEVIN] Oh / What do you think about this for the space by the love wall
[JESICA] I think it's a great idea, did you look at all the photos shown on that FB post? / Not only is it a stylish cabinet, it's a pull out bed....dual functions! Buy us one!
[KEVIN] Us?
[JESICA] Me + You= Us duh 🤗 / Buy mine for me first
[BOTH] Buy what / Murphy Bed / I don't want a Murphy bed / I'm talking about the corner piece
[JESICA] But at the same time, the last name shown on the wall in the entryway to the left....ain't mine, so if you love it, do it! I'll be more than happy to put it together.</t>
  </si>
  <si>
    <t xml:space="preserve">🚨 'Buy US one' — Jesica referencing herself as part of Kevin's household
🚨 Jesica explicitly equating herself and Kevin as a unit
⚠ Acknowledges she's not Kevin's family but still deeply involved</t>
  </si>
  <si>
    <t xml:space="preserve">[10:21 AM] [KEVIN] I don't want curtains / I've told you that a million times / Never
[JESICA] Seeing if you've changed ur mind yet.... / 🙄
[10:21 AM] [KEVIN] You gonna put them together for me? / What day can you put them together? / Only other time would be Dec 21
[JESICA] Oh my goodness / That's gonna take more than one day / I just put together a vanity, it was 245 pieces and it took me 26 hrs start to finish
[BOTH] When are u planning Coushatta trip / Jan 1 / Yeah Christmas break / How long will you be at casino? / Only other time would be Dec 21
[JESICA] Yeah but what Im saying is, this year we had planned to go for superbowl weekend....it was softball season then
[JESICA] Me being available is not an issue....obviously Im going to disclose to Jere my plan to go there and do it...I just wonder if he gonna try to give me any push back after I tell him... 🌝
[BOTH] AMERLIFE Fireplace TV Stand link / 70in Pinewood LED TV Stand link / You need to be looking on marketplace / I'm looking for one right now too
[JESICA] Somebody getting paid tomorrow 🤑🤑🤑🤑 / Bro, quit playing / Or you got paid right before you went on break
[KEVIN] Fixing shit / Yep / Those fiberglass panels were $850</t>
  </si>
  <si>
    <t xml:space="preserve">🚨 'WE had planned' — Jesica references joint plans with Kevin
🚨 Jesica committed to visit BEFORE telling Jere — Jere framed as obstacle</t>
  </si>
  <si>
    <t xml:space="preserve">Jesica DELETES entire Kevin message thread</t>
  </si>
  <si>
    <t xml:space="preserve">[2:37 PM] [KEVIN] INCOMING call — 9 minutes
[4:52 PM] [KEVIN] INCOMING call — 13 minutes
[5:14 PM] [KEVIN] INCOMING call — 24 minutes</t>
  </si>
  <si>
    <t xml:space="preserve">⚠ 1st of 3 Kevin-initiated calls same day
⚠ 2nd call same day
🚨 3rd call NYE — 46 total minutes Dec 31</t>
  </si>
  <si>
    <t xml:space="preserve">[12:26 PM] [KEVIN] INCOMING call — 40 minutes</t>
  </si>
  <si>
    <t xml:space="preserve">Fri</t>
  </si>
  <si>
    <t xml:space="preserve">[10:52 AM] [JESICA] OUTGOING call to Houston — 18 minutes</t>
  </si>
  <si>
    <t xml:space="preserve">Jere confronts Jesica with Jan 2 recorded call. Jesica: 'you're insecure, we don't care how you feel.' Jere stays at Deanna's.</t>
  </si>
  <si>
    <t xml:space="preserve">[BOTH] Couple of messages — Kevin and Jesica both responding and initiating</t>
  </si>
  <si>
    <t xml:space="preserve">[KEVIN] Sends response / Sends cruise ship drawing
[JESICA] Responds / 'What a lovely piece. I want it'</t>
  </si>
  <si>
    <t xml:space="preserve">⚠ Kevin sending personal artwork
⚠ Warm personal response to Kevin's artwork</t>
  </si>
  <si>
    <t xml:space="preserve">[JESICA] Inquires about Kevin's team softball game
[KEVIN] Responds to softball inquiry</t>
  </si>
  <si>
    <t xml:space="preserve">[JESICA] Responds to basketball video clip
[JESICA] Sends text about Spurs basketball game
[KEVIN] Responds to Spurs message</t>
  </si>
  <si>
    <t xml:space="preserve">[JESICA] Initiates question about Kevin's team softball game
[BOTH] Couple of back-and-forth responses
[KEVIN] Sends memes</t>
  </si>
  <si>
    <t xml:space="preserve">[JESICA] Initiates question about spring break plans</t>
  </si>
  <si>
    <t xml:space="preserve">[JESICA] Initiates same spring break question THREE times. Says 'don't ignore [me].' Then initiates question about waterfall.
[KEVIN] Sends meme
[JESICA] Responds to meme</t>
  </si>
  <si>
    <t xml:space="preserve">event_id</t>
  </si>
  <si>
    <t xml:space="preserve">timeframe</t>
  </si>
  <si>
    <t xml:space="preserve">event_label</t>
  </si>
  <si>
    <t xml:space="preserve">action</t>
  </si>
  <si>
    <t xml:space="preserve">category</t>
  </si>
  <si>
    <t xml:space="preserve">people_involved</t>
  </si>
  <si>
    <t xml:space="preserve">impact_on_marriage</t>
  </si>
  <si>
    <t xml:space="preserve">impact_tags</t>
  </si>
  <si>
    <t xml:space="preserve">severity</t>
  </si>
  <si>
    <t xml:space="preserve">reported_by</t>
  </si>
  <si>
    <t xml:space="preserve">is_boundary_related</t>
  </si>
  <si>
    <t xml:space="preserve">is_trust_related</t>
  </si>
  <si>
    <t xml:space="preserve">is_repair</t>
  </si>
  <si>
    <t xml:space="preserve">JK-001</t>
  </si>
  <si>
    <t xml:space="preserve">Prior relationship history</t>
  </si>
  <si>
    <t xml:space="preserve">prior relationship history</t>
  </si>
  <si>
    <t xml:space="preserve">Romantic/sexual relationship transitioned to friendship without clear closure.</t>
  </si>
  <si>
    <t xml:space="preserve">history; attachment; boundary ambiguity</t>
  </si>
  <si>
    <t xml:space="preserve">Jesica; Kevin</t>
  </si>
  <si>
    <t xml:space="preserve">Possible unresolved emotional attachment.</t>
  </si>
  <si>
    <t xml:space="preserve">trust risk; unresolved attachment; background ambiguity</t>
  </si>
  <si>
    <t xml:space="preserve">3</t>
  </si>
  <si>
    <t xml:space="preserve">Jeremiah</t>
  </si>
  <si>
    <t xml:space="preserve">Yes</t>
  </si>
  <si>
    <t xml:space="preserve">No</t>
  </si>
  <si>
    <t xml:space="preserve">JK-002</t>
  </si>
  <si>
    <t xml:space="preserve">Early dating phase</t>
  </si>
  <si>
    <t xml:space="preserve">continued contact during new relationship</t>
  </si>
  <si>
    <t xml:space="preserve">Continued contact with Kevin while beginning relationship with Jeremiah.</t>
  </si>
  <si>
    <t xml:space="preserve">transparency; timeline overlap; communication</t>
  </si>
  <si>
    <t xml:space="preserve">Jesica; Kevin; Jeremiah</t>
  </si>
  <si>
    <t xml:space="preserve">Jeremiah entered the relationship without full context.</t>
  </si>
  <si>
    <t xml:space="preserve">missing context; trust concern; relationship ambiguity</t>
  </si>
  <si>
    <t xml:space="preserve">JK-003</t>
  </si>
  <si>
    <t xml:space="preserve">Spring 2024</t>
  </si>
  <si>
    <t xml:space="preserve">reported romantic overlap</t>
  </si>
  <si>
    <t xml:space="preserve">Romantic involvement reportedly continued until approx. May 2024.</t>
  </si>
  <si>
    <t xml:space="preserve">timeline overlap; trust; disclosure</t>
  </si>
  <si>
    <t xml:space="preserve">Overlap undermined trust once disclosed later.</t>
  </si>
  <si>
    <t xml:space="preserve">trust erosion; late disclosure; relationship overlap</t>
  </si>
  <si>
    <t xml:space="preserve">4</t>
  </si>
  <si>
    <t xml:space="preserve">JK-004</t>
  </si>
  <si>
    <t xml:space="preserve">Jun 2024</t>
  </si>
  <si>
    <t xml:space="preserve">commitment avoidance statement</t>
  </si>
  <si>
    <t xml:space="preserve">Expressed avoidance of commitment and preference for distance and low obligation.</t>
  </si>
  <si>
    <t xml:space="preserve">commitment; mindset; compatibility</t>
  </si>
  <si>
    <t xml:space="preserve">Jesica</t>
  </si>
  <si>
    <t xml:space="preserve">Potential misalignment with marriage expectations.</t>
  </si>
  <si>
    <t xml:space="preserve">compatibility concern; commitment concern</t>
  </si>
  <si>
    <t xml:space="preserve">JK-005</t>
  </si>
  <si>
    <t xml:space="preserve">Dating → engagement</t>
  </si>
  <si>
    <t xml:space="preserve">alias use</t>
  </si>
  <si>
    <t xml:space="preserve">Kevin referenced using alias 'Andrew'.</t>
  </si>
  <si>
    <t xml:space="preserve">secrecy; communication; identity concealment</t>
  </si>
  <si>
    <t xml:space="preserve">Created secrecy and confusion.</t>
  </si>
  <si>
    <t xml:space="preserve">confusion; concealment; trust issue</t>
  </si>
  <si>
    <t xml:space="preserve">JK-006</t>
  </si>
  <si>
    <t xml:space="preserve">Post-engagement</t>
  </si>
  <si>
    <t xml:space="preserve">identity not disclosed</t>
  </si>
  <si>
    <t xml:space="preserve">Alias continued and identity not clearly disclosed.</t>
  </si>
  <si>
    <t xml:space="preserve">transparency; secrecy; engagement-period conflict</t>
  </si>
  <si>
    <t xml:space="preserve">Perception of prioritizing Kevin's privacy over transparency.</t>
  </si>
  <si>
    <t xml:space="preserve">privacy prioritization; transparency breakdown; trust concern</t>
  </si>
  <si>
    <t xml:space="preserve">JK-007</t>
  </si>
  <si>
    <t xml:space="preserve">Engagement period</t>
  </si>
  <si>
    <t xml:space="preserve">engagement not disclosed to Kevin</t>
  </si>
  <si>
    <t xml:space="preserve">Kevin reportedly not informed of engagement.</t>
  </si>
  <si>
    <t xml:space="preserve">boundary ambiguity; external relationship management</t>
  </si>
  <si>
    <t xml:space="preserve">Maintained ambiguity.</t>
  </si>
  <si>
    <t xml:space="preserve">ambiguity; open loop; boundary concern</t>
  </si>
  <si>
    <t xml:space="preserve">JK-008</t>
  </si>
  <si>
    <t xml:space="preserve">Marriage</t>
  </si>
  <si>
    <t xml:space="preserve">marriage not disclosed to Kevin</t>
  </si>
  <si>
    <t xml:space="preserve">Kevin discovered marriage through Facebook rather than direct communication.</t>
  </si>
  <si>
    <t xml:space="preserve">marital boundary; disclosure; external relationship management</t>
  </si>
  <si>
    <t xml:space="preserve">Emotional reaction reported.</t>
  </si>
  <si>
    <t xml:space="preserve">emotional fallout; late discovery; boundary failure</t>
  </si>
  <si>
    <t xml:space="preserve">JK-009</t>
  </si>
  <si>
    <t xml:space="preserve">After discovery</t>
  </si>
  <si>
    <t xml:space="preserve">Kevin reaction</t>
  </si>
  <si>
    <t xml:space="preserve">Kevin expressed anger and inability to remain friends.</t>
  </si>
  <si>
    <t xml:space="preserve">third-party reaction; attachment evidence; external conflict</t>
  </si>
  <si>
    <t xml:space="preserve">Kevin; Jesica</t>
  </si>
  <si>
    <t xml:space="preserve">Indicated unresolved connection.</t>
  </si>
  <si>
    <t xml:space="preserve">emotional significance; third-party instability; attachment concern</t>
  </si>
  <si>
    <t xml:space="preserve">JK-010</t>
  </si>
  <si>
    <t xml:space="preserve">Shortly after</t>
  </si>
  <si>
    <t xml:space="preserve">deleted messages recovered</t>
  </si>
  <si>
    <t xml:space="preserve">Deleted messages recovered and contact resumed.</t>
  </si>
  <si>
    <t xml:space="preserve">communication resumption; transparency; trust</t>
  </si>
  <si>
    <t xml:space="preserve">Reinforced emotional significance.</t>
  </si>
  <si>
    <t xml:space="preserve">resumed contact; trust setback; continued attachment</t>
  </si>
  <si>
    <t xml:space="preserve">JK-011</t>
  </si>
  <si>
    <t xml:space="preserve">Post-marriage</t>
  </si>
  <si>
    <t xml:space="preserve">continued communication without clear reset</t>
  </si>
  <si>
    <t xml:space="preserve">Communication continued without clearly defined boundaries.</t>
  </si>
  <si>
    <t xml:space="preserve">boundary ambiguity; post-marriage contact; transparency</t>
  </si>
  <si>
    <t xml:space="preserve">Trust uncertainty increased.</t>
  </si>
  <si>
    <t xml:space="preserve">uncertainty; low trust; unclear boundaries</t>
  </si>
  <si>
    <t xml:space="preserve">JK-012</t>
  </si>
  <si>
    <t xml:space="preserve">Early December</t>
  </si>
  <si>
    <t xml:space="preserve">onsite visit commitment</t>
  </si>
  <si>
    <t xml:space="preserve">Commitment to assist Kevin onsite without prior discussion.</t>
  </si>
  <si>
    <t xml:space="preserve">future obligation; boundary conflict; marital communication</t>
  </si>
  <si>
    <t xml:space="preserve">Introduced future conflict.</t>
  </si>
  <si>
    <t xml:space="preserve">future conflict; prioritization concern; lack of consultation</t>
  </si>
  <si>
    <t xml:space="preserve">JK-013</t>
  </si>
  <si>
    <t xml:space="preserve">After concerns raised</t>
  </si>
  <si>
    <t xml:space="preserve">boundary framed as Jeremiah objection</t>
  </si>
  <si>
    <t xml:space="preserve">Issue framed to Kevin as 'Jeremiah isn't okay with it'.</t>
  </si>
  <si>
    <t xml:space="preserve">communication framing; marital unity; triangulation</t>
  </si>
  <si>
    <t xml:space="preserve">Positioned Jeremiah as obstacle rather than shared boundary.</t>
  </si>
  <si>
    <t xml:space="preserve">triangulation; undermined unity; externalized blame</t>
  </si>
  <si>
    <t xml:space="preserve">5</t>
  </si>
  <si>
    <t xml:space="preserve">JK-014</t>
  </si>
  <si>
    <t xml:space="preserve">Continued involvement</t>
  </si>
  <si>
    <t xml:space="preserve">extended project support</t>
  </si>
  <si>
    <t xml:space="preserve">Extended FaceTime project assistance.</t>
  </si>
  <si>
    <t xml:space="preserve">time allocation; emotional labor; continued involvement</t>
  </si>
  <si>
    <t xml:space="preserve">Time and emotional energy diverted.</t>
  </si>
  <si>
    <t xml:space="preserve">resource diversion; attention shift; marital strain</t>
  </si>
  <si>
    <t xml:space="preserve">JK-015</t>
  </si>
  <si>
    <t xml:space="preserve">Added support</t>
  </si>
  <si>
    <t xml:space="preserve">platform and purchase support</t>
  </si>
  <si>
    <t xml:space="preserve">Netflix access and Amazon purchases handled.</t>
  </si>
  <si>
    <t xml:space="preserve">practical support; continued attachment; resource sharing</t>
  </si>
  <si>
    <t xml:space="preserve">Involvement appeared to increase.</t>
  </si>
  <si>
    <t xml:space="preserve">increased involvement; support extension; boundary concern</t>
  </si>
  <si>
    <t xml:space="preserve">JK-016</t>
  </si>
  <si>
    <t xml:space="preserve">Conversation</t>
  </si>
  <si>
    <t xml:space="preserve">future visits discussion</t>
  </si>
  <si>
    <t xml:space="preserve">Discussion of future visits; statement Jeremiah 'doesn't understand yet'.</t>
  </si>
  <si>
    <t xml:space="preserve">future planning; marital undermining; external alignment</t>
  </si>
  <si>
    <t xml:space="preserve">Undermined marital unity.</t>
  </si>
  <si>
    <t xml:space="preserve">undermining; future ambiguity; misalignment</t>
  </si>
  <si>
    <t xml:space="preserve">JK-017</t>
  </si>
  <si>
    <t xml:space="preserve">Boundary request</t>
  </si>
  <si>
    <t xml:space="preserve">boundary stated</t>
  </si>
  <si>
    <t xml:space="preserve">Jeremiah requested separation from Kevin-related communication.</t>
  </si>
  <si>
    <t xml:space="preserve">boundary request; marital repair; clarity attempt</t>
  </si>
  <si>
    <t xml:space="preserve">Jeremiah; Jesica</t>
  </si>
  <si>
    <t xml:space="preserve">Boundary acknowledged verbally.</t>
  </si>
  <si>
    <t xml:space="preserve">boundary established; repair attempt</t>
  </si>
  <si>
    <t xml:space="preserve">2</t>
  </si>
  <si>
    <t xml:space="preserve">JK-018</t>
  </si>
  <si>
    <t xml:space="preserve">After boundary</t>
  </si>
  <si>
    <t xml:space="preserve">continued engagement after stated boundary</t>
  </si>
  <si>
    <t xml:space="preserve">Contact reportedly continued.</t>
  </si>
  <si>
    <t xml:space="preserve">boundary violation; continued contact; trust erosion</t>
  </si>
  <si>
    <t xml:space="preserve">Perceived boundary violation.</t>
  </si>
  <si>
    <t xml:space="preserve">boundary violation; trust erosion; escalation</t>
  </si>
  <si>
    <t xml:space="preserve">JK-019</t>
  </si>
  <si>
    <t xml:space="preserve">Expectation discussion</t>
  </si>
  <si>
    <t xml:space="preserve">expectations and deadline communicated</t>
  </si>
  <si>
    <t xml:space="preserve">Jeremiah communicated expectations and possible message to Kevin.</t>
  </si>
  <si>
    <t xml:space="preserve">boundary enforcement; clarification; repair attempt</t>
  </si>
  <si>
    <t xml:space="preserve">Jeremiah; Jesica; Kevin</t>
  </si>
  <si>
    <t xml:space="preserve">Attempted conflict resolution.</t>
  </si>
  <si>
    <t xml:space="preserve">enforcement; clarity; high-stakes boundary</t>
  </si>
  <si>
    <t xml:space="preserve">JK-020</t>
  </si>
  <si>
    <t xml:space="preserve">Present</t>
  </si>
  <si>
    <t xml:space="preserve">message thread deleted</t>
  </si>
  <si>
    <t xml:space="preserve">Message thread with Kevin deleted.</t>
  </si>
  <si>
    <t xml:space="preserve">transparency; evidence removal concern; communication concealment</t>
  </si>
  <si>
    <t xml:space="preserve">Transparency concerns.</t>
  </si>
  <si>
    <t xml:space="preserve">reduced transparency; concealment concern; trust damage</t>
  </si>
  <si>
    <t xml:space="preserve">JK-021</t>
  </si>
  <si>
    <t xml:space="preserve">Recent two weeks</t>
  </si>
  <si>
    <t xml:space="preserve">reduced contact with Kevin</t>
  </si>
  <si>
    <t xml:space="preserve">Jesica reportedly minimized communication after discussions.</t>
  </si>
  <si>
    <t xml:space="preserve">boundary repair; behavioral adjustment</t>
  </si>
  <si>
    <t xml:space="preserve">Jesica; Jeremiah</t>
  </si>
  <si>
    <t xml:space="preserve">Repair attempt and boundary improvement.</t>
  </si>
  <si>
    <t xml:space="preserve">repair attempt; boundary improvement; reduced external influence</t>
  </si>
  <si>
    <t xml:space="preserve">1</t>
  </si>
  <si>
    <t xml:space="preserve">Level</t>
  </si>
  <si>
    <t xml:space="preserve">Negotiating access to items / time together</t>
  </si>
  <si>
    <t xml:space="preserve">References planned Coushatta trip together</t>
  </si>
  <si>
    <t xml:space="preserve">References how they reconnected</t>
  </si>
  <si>
    <t xml:space="preserve">Kevin directing Jesica to make him feel special</t>
  </si>
  <si>
    <t xml:space="preserve">Jesica offering personal gifts for his home</t>
  </si>
  <si>
    <t xml:space="preserve">Jesica planning solo visit to Kevin's home with priority project list — pre-marriage</t>
  </si>
  <si>
    <t xml:space="preserve">Involved in his family/personal life</t>
  </si>
  <si>
    <t xml:space="preserve">'We chose them' — Jesica involved in choosing materials for Kevin's home</t>
  </si>
  <si>
    <t xml:space="preserve">Kevin asking about Jere's living situation</t>
  </si>
  <si>
    <t xml:space="preserve">Jesica discussing Jere's living situation with Kevin</t>
  </si>
  <si>
    <t xml:space="preserve">Kevin reacting to Jere not moving in</t>
  </si>
  <si>
    <t xml:space="preserve">Kevin commenting negatively on Jere situation</t>
  </si>
  <si>
    <t xml:space="preserve">Intimate ownership of his project</t>
  </si>
  <si>
    <t xml:space="preserve">Implies showing up was normal/expected before</t>
  </si>
  <si>
    <t xml:space="preserve">Kevin feels entitled to her presence</t>
  </si>
  <si>
    <t xml:space="preserve">Jesica was waiting to be invited back to his home</t>
  </si>
  <si>
    <t xml:space="preserve">Jesica disappointed she couldn't come to Kevin's sooner</t>
  </si>
  <si>
    <t xml:space="preserve">Kevin now says it's 'weird' — shift in tone post-marriage</t>
  </si>
  <si>
    <t xml:space="preserve">Confirms prior pattern of visiting was normal — pre-marriage</t>
  </si>
  <si>
    <t xml:space="preserve">Jesica spent prior Thanksgiving with Kevin</t>
  </si>
  <si>
    <t xml:space="preserve">Kevin expects her presence at his Thanksgiving</t>
  </si>
  <si>
    <t xml:space="preserve">Jesica planning to come to Kevin's home to cook</t>
  </si>
  <si>
    <t xml:space="preserve">Buying Kevin's kids gifts</t>
  </si>
  <si>
    <t xml:space="preserve">Jesica has a Netflix profile created for Kevin</t>
  </si>
  <si>
    <t xml:space="preserve">Jesica noting who he'd take — awareness of replacement</t>
  </si>
  <si>
    <t xml:space="preserve">Kevin expects Jesica to hand-deliver son's gift</t>
  </si>
  <si>
    <t xml:space="preserve">Personalizing Kevin's son's gift with the Lewis name</t>
  </si>
  <si>
    <t xml:space="preserve">Jesica monitoring his finances, roof, car</t>
  </si>
  <si>
    <t xml:space="preserve">'Buy US one' — Jesica referencing herself as part of Kevin's household</t>
  </si>
  <si>
    <t xml:space="preserve">Jesica explicitly equating herself and Kevin as a unit</t>
  </si>
  <si>
    <t xml:space="preserve">Acknowledges she's not Kevin's family but still deeply involved</t>
  </si>
  <si>
    <t xml:space="preserve">'WE had planned' — Jesica references joint plans with Kevin</t>
  </si>
  <si>
    <t xml:space="preserve">Jesica committed to visit BEFORE telling Jere — Jere framed as obstacle</t>
  </si>
  <si>
    <t xml:space="preserve">Thread deleted same day Jere set boundary/expectation (Dec 24). No texts visible after this date.</t>
  </si>
  <si>
    <t xml:space="preserve">1st of 3 Kevin-initiated calls same day</t>
  </si>
  <si>
    <t xml:space="preserve">2nd call same day</t>
  </si>
  <si>
    <t xml:space="preserve">3rd call NYE — 46 total minutes Dec 31</t>
  </si>
  <si>
    <t xml:space="preserve">Longest call — New Year's Day. Kevin calls Jesica.</t>
  </si>
  <si>
    <t xml:space="preserve">THE RECORDED CALL. Jesica calls Kevin. Jere records this call. Leads to Jan 6 confrontation.</t>
  </si>
  <si>
    <t xml:space="preserve">Relationship crisis — confrontation over Kevin calls</t>
  </si>
  <si>
    <t xml:space="preserve">Jesica both responds AND initiates</t>
  </si>
  <si>
    <t xml:space="preserve">Kevin sending personal artwork</t>
  </si>
  <si>
    <t xml:space="preserve">Warm personal response to Kevin's artwork</t>
  </si>
  <si>
    <t xml:space="preserve">Jesica initiates via SMS — reaching out proactively</t>
  </si>
  <si>
    <t xml:space="preserve">Jesica initiates separate SMS about Spurs</t>
  </si>
  <si>
    <t xml:space="preserve">Jesica initiates again about Kevin's activity</t>
  </si>
  <si>
    <t xml:space="preserve">Planning future together — Jesica initiates</t>
  </si>
  <si>
    <t xml:space="preserve">Persistence + escalation when ignored. 'Don't ignore' = emotional investment. 4 initiations in one day.</t>
  </si>
  <si>
    <t xml:space="preserve">Where</t>
  </si>
  <si>
    <t xml:space="preserve">Created</t>
  </si>
  <si>
    <t xml:space="preserve">What it is</t>
  </si>
  <si>
    <t xml:space="preserve">K LOU</t>
  </si>
  <si>
    <t xml:space="preserve">Drive – https://docs.google.com/spreadsheets/d/1heiiTNWafy-ZRiIqUkjDAUFdSjcEymUj-hPeGTCVM5M</t>
  </si>
  <si>
    <t xml:space="preserve">2025-12-07</t>
  </si>
  <si>
    <t xml:space="preserve">Event → impact table (alias "Andrew", engagement/marriage not disclosed, deleted thread)</t>
  </si>
  <si>
    <t xml:space="preserve">Kevin-set-boundary</t>
  </si>
  <si>
    <t xml:space="preserve">Drive – https://docs.google.com/document/d/1-TxXVOs6e9tUGTrVrIvqbyP2sj4Kx13bEFahN1ZCv7U</t>
  </si>
  <si>
    <t xml:space="preserve">2025-12-16</t>
  </si>
  <si>
    <t xml:space="preserve">Boundary letter to Jesica</t>
  </si>
  <si>
    <t xml:space="preserve">my friends advice.docx</t>
  </si>
  <si>
    <t xml:space="preserve">Drive – https://drive.google.com/file/d/1RVD2yxYQR1BK_VQZ3yvgMSLDUI4J7Fb-</t>
  </si>
  <si>
    <t xml:space="preserve">2025-12-23</t>
  </si>
  <si>
    <t xml:space="preserve">Advice: do not message Kevin</t>
  </si>
  <si>
    <t xml:space="preserve">Timeline-Cause-Effect.xlsx</t>
  </si>
  <si>
    <t xml:space="preserve">Drive – https://drive.google.com/file/d/1TG-0XRRwdwQ-Se1GxGJVHXgNQWQ8-QJ4</t>
  </si>
  <si>
    <t xml:space="preserve">2025-12-25</t>
  </si>
  <si>
    <t xml:space="preserve">Event/Action/Impact timeline</t>
  </si>
  <si>
    <t xml:space="preserve">Untitled document (Dec 5 notes)</t>
  </si>
  <si>
    <t xml:space="preserve">Drive – https://docs.google.com/document/d/1UA75qdUy-sFVjbLXC6Jz--Ws7w2KXp-9Bmgo1w5yS0U</t>
  </si>
  <si>
    <t xml:space="preserve">2026-01-04</t>
  </si>
  <si>
    <t xml:space="preserve">Narrative summary of concerns</t>
  </si>
  <si>
    <t xml:space="preserve">Screenshots IMG_7197/7212/7214/7215/7220</t>
  </si>
  <si>
    <t xml:space="preserve">Drive folder 1We8LLQqOBEmc7jsLR-2hzznSj7DPslTm</t>
  </si>
  <si>
    <t xml:space="preserve">Dec 7 / early-Jan text exchanges with Jesica</t>
  </si>
  <si>
    <t xml:space="preserve">jesica_kevin_relationship_dataset (.csv/.xlsx/.json/.png)</t>
  </si>
  <si>
    <t xml:space="preserve">Drive – https://drive.google.com/file/d/1o87bYjrDmZi113yUxi4QrbW828Sj4Ayp</t>
  </si>
  <si>
    <t xml:space="preserve">2026-03-13</t>
  </si>
  <si>
    <t xml:space="preserve">21-event structured dataset</t>
  </si>
  <si>
    <t xml:space="preserve">Screenshots IMG_0190/0195/0214/0217</t>
  </si>
  <si>
    <t xml:space="preserve">Drive folder 1LyOKSRdZVrladLDYYwblB8vQMlqJb0O6</t>
  </si>
  <si>
    <t xml:space="preserve">2026-03-16</t>
  </si>
  <si>
    <t xml:space="preserve">Jesica↔Kevin thread captures</t>
  </si>
  <si>
    <t xml:space="preserve">Untitled document (triangulation timeline)</t>
  </si>
  <si>
    <t xml:space="preserve">Drive – https://docs.google.com/document/d/1dIm7dWeesroaGQCnhfpRuofeTyppQ4A0fujEyqocYlk</t>
  </si>
  <si>
    <t xml:space="preserve">2026-03-27</t>
  </si>
  <si>
    <t xml:space="preserve">Co-parenting triangulation doc; Kevin as appendix</t>
  </si>
  <si>
    <t xml:space="preserve">jes-jere-recent txt.xlsx</t>
  </si>
  <si>
    <t xml:space="preserve">Drive – https://drive.google.com/file/d/1LtU-PmkQOUuhaozi-m2aFVaCbJhGqibm</t>
  </si>
  <si>
    <t xml:space="preserve">2026-04-09</t>
  </si>
  <si>
    <t xml:space="preserve">Raw iMessage export Jere↔Jesica</t>
  </si>
  <si>
    <t xml:space="preserve">jesica_sidebyside</t>
  </si>
  <si>
    <t xml:space="preserve">Drive – https://docs.google.com/spreadsheets/d/1BWKjgLm7Lbijrkxkg6DfpD2XXZJM1SNojpHc8h_3GHA (copy: …1ch7uwAhZszEP4Iq2oIcDG3UqtTH30y-W17Py9D5KHy8)</t>
  </si>
  <si>
    <t xml:space="preserve">2026-05-27</t>
  </si>
  <si>
    <t xml:space="preserve">Side-by-side message log, Nov 2025–Apr 2026</t>
  </si>
  <si>
    <t xml:space="preserve">jcargillx2@gmail.com (Doc)</t>
  </si>
  <si>
    <t xml:space="preserve">Drive – https://docs.google.com/document/d/1yrKvmCGA-_ProT0Owc7V2Jc2QM9eq28gVLceCclWAmY</t>
  </si>
  <si>
    <t xml:space="preserve">Statement re: control framing / concealment</t>
  </si>
  <si>
    <t xml:space="preserve">jeremiah9980/jlewis</t>
  </si>
  <si>
    <t xml:space="preserve">GitHub – https://github.com/jeremiah9980/jlewis  (PUBLIC as of 2026-10-02)</t>
  </si>
  <si>
    <t xml:space="preserve">2026-05 → 08</t>
  </si>
  <si>
    <t xml:space="preserve">Satirical blog, Aug 25 letter, side-by-side HTML, reconstructed May 27 thread</t>
  </si>
  <si>
    <t xml:space="preserve">IMG_3435.mov</t>
  </si>
  <si>
    <t xml:space="preserve">This conversation (transcript .txt/.csv produced 2026-09-30)</t>
  </si>
  <si>
    <t xml:space="preserve">2026-09-30</t>
  </si>
  <si>
    <t xml:space="preserve">Video of Jesica's phone: Kevin Lewis Messenger thread + Eric iMessage thread</t>
  </si>
  <si>
    <t xml:space="preserve">IMG_3496/3497</t>
  </si>
  <si>
    <t xml:space="preserve">This conversation</t>
  </si>
  <si>
    <t xml:space="preserve">Gmail: "10 days till 10-10" email</t>
  </si>
  <si>
    <t xml:space="preserve">IMG_3524/3525</t>
  </si>
  <si>
    <t xml:space="preserve">2026-10-01</t>
  </si>
  <si>
    <t xml:space="preserve">iMessage: passwords deflection / "same page" exchange</t>
  </si>
</sst>
</file>

<file path=xl/styles.xml><?xml version="1.0" encoding="utf-8"?>
<styleSheet xmlns="http://schemas.openxmlformats.org/spreadsheetml/2006/main">
  <numFmts count="2">
    <numFmt numFmtId="164" formatCode="General"/>
    <numFmt numFmtId="165" formatCode="yyyy\-mm\-dd"/>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1"/>
      <color rgb="FFFFFFFF"/>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10"/>
  </cols>
  <sheetData>
    <row r="1" customFormat="false" ht="63.75" hidden="false" customHeight="true" outlineLevel="0" collapsed="false">
      <c r="A1" s="2" t="s">
        <v>0</v>
      </c>
      <c r="B1" s="3"/>
    </row>
    <row r="2" customFormat="false" ht="15" hidden="false" customHeight="true" outlineLevel="0" collapsed="false">
      <c r="A2" s="4" t="s">
        <v>1</v>
      </c>
      <c r="B2" s="3" t="s">
        <v>2</v>
      </c>
    </row>
    <row r="3" customFormat="false" ht="15" hidden="false" customHeight="true" outlineLevel="0" collapsed="false">
      <c r="A3" s="4" t="s">
        <v>3</v>
      </c>
      <c r="B3" s="3" t="s">
        <v>4</v>
      </c>
    </row>
    <row r="4" customFormat="false" ht="15" hidden="false" customHeight="true" outlineLevel="0" collapsed="false">
      <c r="A4" s="4"/>
      <c r="B4" s="3"/>
    </row>
    <row r="5" customFormat="false" ht="23.25" hidden="false" customHeight="true" outlineLevel="0" collapsed="false">
      <c r="A5" s="4" t="s">
        <v>5</v>
      </c>
      <c r="B5" s="3" t="s">
        <v>6</v>
      </c>
    </row>
    <row r="6" customFormat="false" ht="15" hidden="false" customHeight="true" outlineLevel="0" collapsed="false">
      <c r="A6" s="4" t="s">
        <v>7</v>
      </c>
      <c r="B6" s="3"/>
    </row>
    <row r="7" customFormat="false" ht="23.25" hidden="false" customHeight="true" outlineLevel="0" collapsed="false">
      <c r="A7" s="4" t="s">
        <v>8</v>
      </c>
      <c r="B7" s="3" t="s">
        <v>9</v>
      </c>
    </row>
    <row r="8" customFormat="false" ht="23.25" hidden="false" customHeight="true" outlineLevel="0" collapsed="false">
      <c r="A8" s="4" t="s">
        <v>10</v>
      </c>
      <c r="B8" s="3" t="s">
        <v>11</v>
      </c>
    </row>
    <row r="9" customFormat="false" ht="15" hidden="false" customHeight="true" outlineLevel="0" collapsed="false">
      <c r="A9" s="4" t="s">
        <v>12</v>
      </c>
      <c r="B9" s="3" t="s">
        <v>13</v>
      </c>
    </row>
    <row r="10" customFormat="false" ht="15" hidden="false" customHeight="true" outlineLevel="0" collapsed="false">
      <c r="A10" s="4" t="s">
        <v>14</v>
      </c>
      <c r="B10" s="3" t="s">
        <v>15</v>
      </c>
    </row>
    <row r="11" customFormat="false" ht="15" hidden="false" customHeight="true" outlineLevel="0" collapsed="false">
      <c r="A11" s="4" t="s">
        <v>16</v>
      </c>
      <c r="B11" s="3" t="s">
        <v>17</v>
      </c>
    </row>
    <row r="12" customFormat="false" ht="15" hidden="false" customHeight="true" outlineLevel="0" collapsed="false">
      <c r="A12" s="4"/>
      <c r="B12" s="3"/>
    </row>
    <row r="13" customFormat="false" ht="34.5" hidden="false" customHeight="true" outlineLevel="0" collapsed="false">
      <c r="A13" s="4" t="s">
        <v>18</v>
      </c>
      <c r="B13" s="3" t="s">
        <v>19</v>
      </c>
    </row>
    <row r="14" customFormat="false" ht="23.25" hidden="false" customHeight="true" outlineLevel="0" collapsed="false">
      <c r="A14" s="4" t="s">
        <v>20</v>
      </c>
      <c r="B14" s="3"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2"/>
    <col collapsed="false" customWidth="true" hidden="false" outlineLevel="0" max="3" min="3" style="1" width="30"/>
    <col collapsed="false" customWidth="true" hidden="false" outlineLevel="0" max="4" min="4" style="1" width="80"/>
    <col collapsed="false" customWidth="true" hidden="false" outlineLevel="0" max="5" min="5" style="1" width="48"/>
    <col collapsed="false" customWidth="true" hidden="false" outlineLevel="0" max="6" min="6" style="1" width="40"/>
    <col collapsed="false" customWidth="true" hidden="false" outlineLevel="0" max="7" min="7" style="1" width="6"/>
  </cols>
  <sheetData>
    <row r="1" customFormat="false" ht="15" hidden="false" customHeight="true" outlineLevel="0" collapsed="false">
      <c r="A1" s="5" t="s">
        <v>22</v>
      </c>
      <c r="B1" s="5" t="s">
        <v>23</v>
      </c>
      <c r="C1" s="5" t="s">
        <v>24</v>
      </c>
      <c r="D1" s="5" t="s">
        <v>25</v>
      </c>
      <c r="E1" s="5" t="s">
        <v>26</v>
      </c>
      <c r="F1" s="5" t="s">
        <v>27</v>
      </c>
      <c r="G1" s="5" t="s">
        <v>28</v>
      </c>
    </row>
    <row r="2" customFormat="false" ht="23.25" hidden="false" customHeight="true" outlineLevel="0" collapsed="false">
      <c r="A2" s="6" t="n">
        <v>1</v>
      </c>
      <c r="B2" s="7" t="n">
        <v>45292</v>
      </c>
      <c r="C2" s="6" t="s">
        <v>29</v>
      </c>
      <c r="D2" s="6" t="s">
        <v>30</v>
      </c>
      <c r="E2" s="6" t="s">
        <v>31</v>
      </c>
      <c r="F2" s="6" t="s">
        <v>32</v>
      </c>
      <c r="G2" s="6"/>
    </row>
    <row r="3" customFormat="false" ht="23.25" hidden="false" customHeight="true" outlineLevel="0" collapsed="false">
      <c r="A3" s="6" t="n">
        <v>2</v>
      </c>
      <c r="B3" s="7" t="n">
        <v>45413</v>
      </c>
      <c r="C3" s="6" t="s">
        <v>33</v>
      </c>
      <c r="D3" s="6" t="s">
        <v>34</v>
      </c>
      <c r="E3" s="6" t="s">
        <v>31</v>
      </c>
      <c r="F3" s="6" t="s">
        <v>35</v>
      </c>
      <c r="G3" s="6"/>
    </row>
    <row r="4" customFormat="false" ht="23.25" hidden="false" customHeight="true" outlineLevel="0" collapsed="false">
      <c r="A4" s="6" t="n">
        <v>3</v>
      </c>
      <c r="B4" s="7" t="n">
        <v>45444</v>
      </c>
      <c r="C4" s="6" t="s">
        <v>36</v>
      </c>
      <c r="D4" s="6" t="s">
        <v>37</v>
      </c>
      <c r="E4" s="6" t="s">
        <v>31</v>
      </c>
      <c r="F4" s="6" t="s">
        <v>32</v>
      </c>
      <c r="G4" s="6"/>
    </row>
    <row r="5" customFormat="false" ht="15" hidden="false" customHeight="true" outlineLevel="0" collapsed="false">
      <c r="A5" s="6" t="n">
        <v>4</v>
      </c>
      <c r="B5" s="7" t="n">
        <v>45897</v>
      </c>
      <c r="C5" s="6" t="s">
        <v>38</v>
      </c>
      <c r="D5" s="6" t="s">
        <v>39</v>
      </c>
      <c r="E5" s="6" t="s">
        <v>40</v>
      </c>
      <c r="F5" s="6" t="s">
        <v>41</v>
      </c>
      <c r="G5" s="6"/>
    </row>
    <row r="6" customFormat="false" ht="34.5" hidden="false" customHeight="true" outlineLevel="0" collapsed="false">
      <c r="A6" s="6" t="n">
        <v>5</v>
      </c>
      <c r="B6" s="7" t="n">
        <v>45898</v>
      </c>
      <c r="C6" s="6" t="s">
        <v>42</v>
      </c>
      <c r="D6" s="6" t="s">
        <v>43</v>
      </c>
      <c r="E6" s="6" t="s">
        <v>31</v>
      </c>
      <c r="F6" s="6" t="s">
        <v>44</v>
      </c>
      <c r="G6" s="6"/>
    </row>
    <row r="7" customFormat="false" ht="34.5" hidden="false" customHeight="true" outlineLevel="0" collapsed="false">
      <c r="A7" s="6" t="n">
        <v>6</v>
      </c>
      <c r="B7" s="7" t="n">
        <v>45905</v>
      </c>
      <c r="C7" s="6" t="s">
        <v>45</v>
      </c>
      <c r="D7" s="6" t="s">
        <v>46</v>
      </c>
      <c r="E7" s="6" t="s">
        <v>31</v>
      </c>
      <c r="F7" s="6" t="s">
        <v>47</v>
      </c>
      <c r="G7" s="6"/>
    </row>
    <row r="8" customFormat="false" ht="34.5" hidden="false" customHeight="true" outlineLevel="0" collapsed="false">
      <c r="A8" s="6" t="n">
        <v>7</v>
      </c>
      <c r="B8" s="7" t="n">
        <v>45920</v>
      </c>
      <c r="C8" s="6" t="s">
        <v>48</v>
      </c>
      <c r="D8" s="6" t="s">
        <v>49</v>
      </c>
      <c r="E8" s="6" t="s">
        <v>31</v>
      </c>
      <c r="F8" s="6" t="s">
        <v>47</v>
      </c>
      <c r="G8" s="6"/>
    </row>
    <row r="9" customFormat="false" ht="34.5" hidden="false" customHeight="true" outlineLevel="0" collapsed="false">
      <c r="A9" s="6" t="n">
        <v>8</v>
      </c>
      <c r="B9" s="7" t="n">
        <v>45928</v>
      </c>
      <c r="C9" s="6" t="s">
        <v>50</v>
      </c>
      <c r="D9" s="6" t="s">
        <v>51</v>
      </c>
      <c r="E9" s="6" t="s">
        <v>31</v>
      </c>
      <c r="F9" s="6" t="s">
        <v>44</v>
      </c>
      <c r="G9" s="6"/>
    </row>
    <row r="10" customFormat="false" ht="34.5" hidden="false" customHeight="true" outlineLevel="0" collapsed="false">
      <c r="A10" s="6" t="n">
        <v>9</v>
      </c>
      <c r="B10" s="7" t="n">
        <v>45940</v>
      </c>
      <c r="C10" s="6" t="s">
        <v>52</v>
      </c>
      <c r="D10" s="6" t="s">
        <v>53</v>
      </c>
      <c r="E10" s="6" t="s">
        <v>31</v>
      </c>
      <c r="F10" s="6" t="s">
        <v>47</v>
      </c>
      <c r="G10" s="6"/>
    </row>
    <row r="11" customFormat="false" ht="15" hidden="false" customHeight="true" outlineLevel="0" collapsed="false">
      <c r="A11" s="6" t="n">
        <v>10</v>
      </c>
      <c r="B11" s="7" t="n">
        <v>45940</v>
      </c>
      <c r="C11" s="6" t="s">
        <v>38</v>
      </c>
      <c r="D11" s="6" t="s">
        <v>54</v>
      </c>
      <c r="E11" s="6" t="s">
        <v>55</v>
      </c>
      <c r="F11" s="6" t="s">
        <v>56</v>
      </c>
      <c r="G11" s="6"/>
    </row>
    <row r="12" customFormat="false" ht="23.25" hidden="false" customHeight="true" outlineLevel="0" collapsed="false">
      <c r="A12" s="6" t="n">
        <v>11</v>
      </c>
      <c r="B12" s="7" t="n">
        <v>45950</v>
      </c>
      <c r="C12" s="6" t="s">
        <v>57</v>
      </c>
      <c r="D12" s="6" t="s">
        <v>58</v>
      </c>
      <c r="E12" s="6" t="s">
        <v>31</v>
      </c>
      <c r="F12" s="6" t="s">
        <v>59</v>
      </c>
      <c r="G12" s="6"/>
    </row>
    <row r="13" customFormat="false" ht="23.25" hidden="false" customHeight="true" outlineLevel="0" collapsed="false">
      <c r="A13" s="6" t="n">
        <v>12</v>
      </c>
      <c r="B13" s="7" t="n">
        <v>45962</v>
      </c>
      <c r="C13" s="6" t="s">
        <v>60</v>
      </c>
      <c r="D13" s="6" t="s">
        <v>61</v>
      </c>
      <c r="E13" s="6" t="s">
        <v>31</v>
      </c>
      <c r="F13" s="6" t="s">
        <v>59</v>
      </c>
      <c r="G13" s="6"/>
    </row>
    <row r="14" customFormat="false" ht="23.25" hidden="false" customHeight="true" outlineLevel="0" collapsed="false">
      <c r="A14" s="6" t="n">
        <v>13</v>
      </c>
      <c r="B14" s="7" t="n">
        <v>45976</v>
      </c>
      <c r="C14" s="6" t="s">
        <v>62</v>
      </c>
      <c r="D14" s="6" t="s">
        <v>63</v>
      </c>
      <c r="E14" s="6" t="s">
        <v>31</v>
      </c>
      <c r="F14" s="6" t="s">
        <v>59</v>
      </c>
      <c r="G14" s="6"/>
    </row>
    <row r="15" customFormat="false" ht="23.25" hidden="false" customHeight="true" outlineLevel="0" collapsed="false">
      <c r="A15" s="6" t="n">
        <v>14</v>
      </c>
      <c r="B15" s="7" t="n">
        <v>45977</v>
      </c>
      <c r="C15" s="6" t="s">
        <v>64</v>
      </c>
      <c r="D15" s="6" t="s">
        <v>65</v>
      </c>
      <c r="E15" s="6" t="s">
        <v>66</v>
      </c>
      <c r="F15" s="6" t="s">
        <v>67</v>
      </c>
      <c r="G15" s="6" t="s">
        <v>68</v>
      </c>
    </row>
    <row r="16" customFormat="false" ht="23.25" hidden="false" customHeight="true" outlineLevel="0" collapsed="false">
      <c r="A16" s="6" t="n">
        <v>15</v>
      </c>
      <c r="B16" s="7" t="n">
        <v>45978</v>
      </c>
      <c r="C16" s="6" t="s">
        <v>64</v>
      </c>
      <c r="D16" s="6" t="s">
        <v>69</v>
      </c>
      <c r="E16" s="6" t="s">
        <v>70</v>
      </c>
      <c r="F16" s="6" t="s">
        <v>67</v>
      </c>
      <c r="G16" s="6" t="s">
        <v>71</v>
      </c>
    </row>
    <row r="17" customFormat="false" ht="23.25" hidden="false" customHeight="true" outlineLevel="0" collapsed="false">
      <c r="A17" s="6" t="n">
        <v>16</v>
      </c>
      <c r="B17" s="7" t="n">
        <v>45979</v>
      </c>
      <c r="C17" s="6" t="s">
        <v>64</v>
      </c>
      <c r="D17" s="6" t="s">
        <v>72</v>
      </c>
      <c r="E17" s="6" t="s">
        <v>73</v>
      </c>
      <c r="F17" s="6" t="s">
        <v>67</v>
      </c>
      <c r="G17" s="6" t="s">
        <v>68</v>
      </c>
    </row>
    <row r="18" customFormat="false" ht="23.25" hidden="false" customHeight="true" outlineLevel="0" collapsed="false">
      <c r="A18" s="6" t="n">
        <v>17</v>
      </c>
      <c r="B18" s="7" t="n">
        <v>45984</v>
      </c>
      <c r="C18" s="6" t="s">
        <v>64</v>
      </c>
      <c r="D18" s="6" t="s">
        <v>74</v>
      </c>
      <c r="E18" s="6" t="s">
        <v>75</v>
      </c>
      <c r="F18" s="6" t="s">
        <v>67</v>
      </c>
      <c r="G18" s="6" t="s">
        <v>68</v>
      </c>
    </row>
    <row r="19" customFormat="false" ht="34.5" hidden="false" customHeight="true" outlineLevel="0" collapsed="false">
      <c r="A19" s="6" t="n">
        <v>18</v>
      </c>
      <c r="B19" s="7" t="n">
        <v>45985</v>
      </c>
      <c r="C19" s="6" t="s">
        <v>64</v>
      </c>
      <c r="D19" s="6" t="s">
        <v>76</v>
      </c>
      <c r="E19" s="6" t="s">
        <v>77</v>
      </c>
      <c r="F19" s="6" t="s">
        <v>67</v>
      </c>
      <c r="G19" s="6" t="s">
        <v>71</v>
      </c>
    </row>
    <row r="20" customFormat="false" ht="57" hidden="false" customHeight="true" outlineLevel="0" collapsed="false">
      <c r="A20" s="6" t="n">
        <v>19</v>
      </c>
      <c r="B20" s="7" t="n">
        <v>45986</v>
      </c>
      <c r="C20" s="6" t="s">
        <v>64</v>
      </c>
      <c r="D20" s="6" t="s">
        <v>78</v>
      </c>
      <c r="E20" s="6" t="s">
        <v>79</v>
      </c>
      <c r="F20" s="6" t="s">
        <v>67</v>
      </c>
      <c r="G20" s="6" t="s">
        <v>71</v>
      </c>
    </row>
    <row r="21" customFormat="false" ht="23.25" hidden="false" customHeight="true" outlineLevel="0" collapsed="false">
      <c r="A21" s="6" t="n">
        <v>20</v>
      </c>
      <c r="B21" s="7" t="n">
        <v>45987</v>
      </c>
      <c r="C21" s="6" t="s">
        <v>64</v>
      </c>
      <c r="D21" s="6" t="s">
        <v>80</v>
      </c>
      <c r="E21" s="6" t="s">
        <v>81</v>
      </c>
      <c r="F21" s="6" t="s">
        <v>67</v>
      </c>
      <c r="G21" s="6" t="s">
        <v>68</v>
      </c>
    </row>
    <row r="22" customFormat="false" ht="23.25" hidden="false" customHeight="true" outlineLevel="0" collapsed="false">
      <c r="A22" s="6" t="n">
        <v>21</v>
      </c>
      <c r="B22" s="7" t="n">
        <v>45988</v>
      </c>
      <c r="C22" s="6" t="s">
        <v>64</v>
      </c>
      <c r="D22" s="6" t="s">
        <v>82</v>
      </c>
      <c r="E22" s="6" t="s">
        <v>83</v>
      </c>
      <c r="F22" s="6" t="s">
        <v>67</v>
      </c>
      <c r="G22" s="6" t="s">
        <v>68</v>
      </c>
    </row>
    <row r="23" customFormat="false" ht="23.25" hidden="false" customHeight="true" outlineLevel="0" collapsed="false">
      <c r="A23" s="6" t="n">
        <v>22</v>
      </c>
      <c r="B23" s="7" t="n">
        <v>45991</v>
      </c>
      <c r="C23" s="6" t="s">
        <v>64</v>
      </c>
      <c r="D23" s="6" t="s">
        <v>84</v>
      </c>
      <c r="E23" s="6" t="s">
        <v>85</v>
      </c>
      <c r="F23" s="6" t="s">
        <v>67</v>
      </c>
      <c r="G23" s="6" t="s">
        <v>68</v>
      </c>
    </row>
    <row r="24" customFormat="false" ht="23.25" hidden="false" customHeight="true" outlineLevel="0" collapsed="false">
      <c r="A24" s="6" t="n">
        <v>23</v>
      </c>
      <c r="B24" s="7" t="n">
        <v>45992</v>
      </c>
      <c r="C24" s="6" t="s">
        <v>64</v>
      </c>
      <c r="D24" s="6" t="s">
        <v>86</v>
      </c>
      <c r="E24" s="6" t="s">
        <v>87</v>
      </c>
      <c r="F24" s="6" t="s">
        <v>67</v>
      </c>
      <c r="G24" s="6" t="s">
        <v>68</v>
      </c>
    </row>
    <row r="25" customFormat="false" ht="23.25" hidden="false" customHeight="true" outlineLevel="0" collapsed="false">
      <c r="A25" s="6" t="n">
        <v>24</v>
      </c>
      <c r="B25" s="7" t="n">
        <v>45993</v>
      </c>
      <c r="C25" s="6" t="s">
        <v>64</v>
      </c>
      <c r="D25" s="6" t="s">
        <v>88</v>
      </c>
      <c r="E25" s="6" t="s">
        <v>89</v>
      </c>
      <c r="F25" s="6" t="s">
        <v>67</v>
      </c>
      <c r="G25" s="6" t="s">
        <v>68</v>
      </c>
    </row>
    <row r="26" customFormat="false" ht="23.25" hidden="false" customHeight="true" outlineLevel="0" collapsed="false">
      <c r="A26" s="6" t="n">
        <v>25</v>
      </c>
      <c r="B26" s="7" t="n">
        <v>45994</v>
      </c>
      <c r="C26" s="6" t="s">
        <v>90</v>
      </c>
      <c r="D26" s="6" t="s">
        <v>91</v>
      </c>
      <c r="E26" s="6" t="s">
        <v>31</v>
      </c>
      <c r="F26" s="6" t="s">
        <v>59</v>
      </c>
      <c r="G26" s="6"/>
    </row>
    <row r="27" customFormat="false" ht="23.25" hidden="false" customHeight="true" outlineLevel="0" collapsed="false">
      <c r="A27" s="6" t="n">
        <v>26</v>
      </c>
      <c r="B27" s="7" t="n">
        <v>45994</v>
      </c>
      <c r="C27" s="6" t="s">
        <v>64</v>
      </c>
      <c r="D27" s="6" t="s">
        <v>92</v>
      </c>
      <c r="E27" s="6" t="s">
        <v>93</v>
      </c>
      <c r="F27" s="6" t="s">
        <v>67</v>
      </c>
      <c r="G27" s="6" t="s">
        <v>68</v>
      </c>
    </row>
    <row r="28" customFormat="false" ht="23.25" hidden="false" customHeight="true" outlineLevel="0" collapsed="false">
      <c r="A28" s="6" t="n">
        <v>27</v>
      </c>
      <c r="B28" s="7" t="n">
        <v>45995</v>
      </c>
      <c r="C28" s="6" t="s">
        <v>64</v>
      </c>
      <c r="D28" s="6" t="s">
        <v>94</v>
      </c>
      <c r="E28" s="6" t="s">
        <v>95</v>
      </c>
      <c r="F28" s="6" t="s">
        <v>67</v>
      </c>
      <c r="G28" s="6" t="s">
        <v>68</v>
      </c>
    </row>
    <row r="29" customFormat="false" ht="23.25" hidden="false" customHeight="true" outlineLevel="0" collapsed="false">
      <c r="A29" s="6" t="n">
        <v>28</v>
      </c>
      <c r="B29" s="7" t="n">
        <v>45996</v>
      </c>
      <c r="C29" s="6" t="s">
        <v>96</v>
      </c>
      <c r="D29" s="6" t="s">
        <v>97</v>
      </c>
      <c r="E29" s="6" t="s">
        <v>31</v>
      </c>
      <c r="F29" s="6" t="s">
        <v>98</v>
      </c>
      <c r="G29" s="6" t="s">
        <v>71</v>
      </c>
    </row>
    <row r="30" customFormat="false" ht="23.25" hidden="false" customHeight="true" outlineLevel="0" collapsed="false">
      <c r="A30" s="6" t="n">
        <v>29</v>
      </c>
      <c r="B30" s="7" t="n">
        <v>45997</v>
      </c>
      <c r="C30" s="6" t="s">
        <v>99</v>
      </c>
      <c r="D30" s="6" t="s">
        <v>100</v>
      </c>
      <c r="E30" s="6" t="s">
        <v>31</v>
      </c>
      <c r="F30" s="6" t="s">
        <v>101</v>
      </c>
      <c r="G30" s="6"/>
    </row>
    <row r="31" customFormat="false" ht="23.25" hidden="false" customHeight="true" outlineLevel="0" collapsed="false">
      <c r="A31" s="6" t="n">
        <v>30</v>
      </c>
      <c r="B31" s="7" t="n">
        <v>45997</v>
      </c>
      <c r="C31" s="6" t="s">
        <v>64</v>
      </c>
      <c r="D31" s="6" t="s">
        <v>102</v>
      </c>
      <c r="E31" s="6" t="s">
        <v>103</v>
      </c>
      <c r="F31" s="6" t="s">
        <v>67</v>
      </c>
      <c r="G31" s="6" t="s">
        <v>68</v>
      </c>
    </row>
    <row r="32" customFormat="false" ht="23.25" hidden="false" customHeight="true" outlineLevel="0" collapsed="false">
      <c r="A32" s="6" t="n">
        <v>31</v>
      </c>
      <c r="B32" s="7" t="n">
        <v>45998</v>
      </c>
      <c r="C32" s="6" t="s">
        <v>104</v>
      </c>
      <c r="D32" s="6" t="s">
        <v>105</v>
      </c>
      <c r="E32" s="6" t="s">
        <v>106</v>
      </c>
      <c r="F32" s="6" t="s">
        <v>56</v>
      </c>
      <c r="G32" s="6"/>
    </row>
    <row r="33" customFormat="false" ht="34.5" hidden="false" customHeight="true" outlineLevel="0" collapsed="false">
      <c r="A33" s="6" t="n">
        <v>32</v>
      </c>
      <c r="B33" s="7" t="n">
        <v>45998</v>
      </c>
      <c r="C33" s="6" t="s">
        <v>64</v>
      </c>
      <c r="D33" s="6" t="s">
        <v>107</v>
      </c>
      <c r="E33" s="6" t="s">
        <v>108</v>
      </c>
      <c r="F33" s="6" t="s">
        <v>67</v>
      </c>
      <c r="G33" s="6" t="s">
        <v>71</v>
      </c>
    </row>
    <row r="34" customFormat="false" ht="15" hidden="false" customHeight="true" outlineLevel="0" collapsed="false">
      <c r="A34" s="6" t="n">
        <v>33</v>
      </c>
      <c r="B34" s="7" t="n">
        <v>45998</v>
      </c>
      <c r="C34" s="6" t="s">
        <v>109</v>
      </c>
      <c r="D34" s="6" t="s">
        <v>110</v>
      </c>
      <c r="E34" s="6" t="s">
        <v>111</v>
      </c>
      <c r="F34" s="6" t="s">
        <v>56</v>
      </c>
      <c r="G34" s="6"/>
    </row>
    <row r="35" customFormat="false" ht="23.25" hidden="false" customHeight="true" outlineLevel="0" collapsed="false">
      <c r="A35" s="6" t="n">
        <v>34</v>
      </c>
      <c r="B35" s="7" t="n">
        <v>45999</v>
      </c>
      <c r="C35" s="6" t="s">
        <v>112</v>
      </c>
      <c r="D35" s="6" t="s">
        <v>113</v>
      </c>
      <c r="E35" s="6" t="s">
        <v>31</v>
      </c>
      <c r="F35" s="6" t="s">
        <v>101</v>
      </c>
      <c r="G35" s="6"/>
    </row>
    <row r="36" customFormat="false" ht="23.25" hidden="false" customHeight="true" outlineLevel="0" collapsed="false">
      <c r="A36" s="6" t="n">
        <v>35</v>
      </c>
      <c r="B36" s="7" t="n">
        <v>45999</v>
      </c>
      <c r="C36" s="6" t="s">
        <v>64</v>
      </c>
      <c r="D36" s="6" t="s">
        <v>114</v>
      </c>
      <c r="E36" s="6" t="s">
        <v>115</v>
      </c>
      <c r="F36" s="6" t="s">
        <v>67</v>
      </c>
      <c r="G36" s="6" t="s">
        <v>71</v>
      </c>
    </row>
    <row r="37" customFormat="false" ht="23.25" hidden="false" customHeight="true" outlineLevel="0" collapsed="false">
      <c r="A37" s="6" t="n">
        <v>36</v>
      </c>
      <c r="B37" s="7" t="n">
        <v>46001</v>
      </c>
      <c r="C37" s="6" t="s">
        <v>116</v>
      </c>
      <c r="D37" s="6" t="s">
        <v>117</v>
      </c>
      <c r="E37" s="6" t="s">
        <v>31</v>
      </c>
      <c r="F37" s="6" t="s">
        <v>98</v>
      </c>
      <c r="G37" s="6" t="s">
        <v>71</v>
      </c>
    </row>
    <row r="38" customFormat="false" ht="23.25" hidden="false" customHeight="true" outlineLevel="0" collapsed="false">
      <c r="A38" s="6" t="n">
        <v>37</v>
      </c>
      <c r="B38" s="7" t="n">
        <v>46007</v>
      </c>
      <c r="C38" s="6" t="s">
        <v>104</v>
      </c>
      <c r="D38" s="6" t="s">
        <v>118</v>
      </c>
      <c r="E38" s="6" t="s">
        <v>119</v>
      </c>
      <c r="F38" s="6" t="s">
        <v>56</v>
      </c>
      <c r="G38" s="6"/>
    </row>
    <row r="39" customFormat="false" ht="23.25" hidden="false" customHeight="true" outlineLevel="0" collapsed="false">
      <c r="A39" s="6" t="n">
        <v>38</v>
      </c>
      <c r="B39" s="7" t="n">
        <v>46007</v>
      </c>
      <c r="C39" s="6" t="s">
        <v>120</v>
      </c>
      <c r="D39" s="6" t="s">
        <v>121</v>
      </c>
      <c r="E39" s="6" t="s">
        <v>31</v>
      </c>
      <c r="F39" s="6" t="s">
        <v>122</v>
      </c>
      <c r="G39" s="6"/>
    </row>
    <row r="40" customFormat="false" ht="15" hidden="false" customHeight="true" outlineLevel="0" collapsed="false">
      <c r="A40" s="6" t="n">
        <v>39</v>
      </c>
      <c r="B40" s="7" t="n">
        <v>46014</v>
      </c>
      <c r="C40" s="6" t="s">
        <v>104</v>
      </c>
      <c r="D40" s="6" t="s">
        <v>123</v>
      </c>
      <c r="E40" s="6" t="s">
        <v>124</v>
      </c>
      <c r="F40" s="6" t="s">
        <v>56</v>
      </c>
      <c r="G40" s="6"/>
    </row>
    <row r="41" customFormat="false" ht="15" hidden="false" customHeight="true" outlineLevel="0" collapsed="false">
      <c r="A41" s="6" t="n">
        <v>40</v>
      </c>
      <c r="B41" s="7" t="n">
        <v>46016</v>
      </c>
      <c r="C41" s="6" t="s">
        <v>104</v>
      </c>
      <c r="D41" s="6" t="s">
        <v>125</v>
      </c>
      <c r="E41" s="6" t="s">
        <v>126</v>
      </c>
      <c r="F41" s="6" t="s">
        <v>56</v>
      </c>
      <c r="G41" s="6"/>
    </row>
    <row r="42" customFormat="false" ht="23.25" hidden="false" customHeight="true" outlineLevel="0" collapsed="false">
      <c r="A42" s="6" t="n">
        <v>41</v>
      </c>
      <c r="B42" s="7" t="n">
        <v>46016</v>
      </c>
      <c r="C42" s="6" t="s">
        <v>64</v>
      </c>
      <c r="D42" s="6" t="s">
        <v>127</v>
      </c>
      <c r="E42" s="6" t="s">
        <v>128</v>
      </c>
      <c r="F42" s="6" t="s">
        <v>67</v>
      </c>
      <c r="G42" s="6" t="s">
        <v>71</v>
      </c>
    </row>
    <row r="43" customFormat="false" ht="23.25" hidden="false" customHeight="true" outlineLevel="0" collapsed="false">
      <c r="A43" s="6" t="n">
        <v>42</v>
      </c>
      <c r="B43" s="7" t="n">
        <v>46022</v>
      </c>
      <c r="C43" s="6" t="s">
        <v>64</v>
      </c>
      <c r="D43" s="6" t="s">
        <v>129</v>
      </c>
      <c r="E43" s="6" t="s">
        <v>130</v>
      </c>
      <c r="F43" s="6" t="s">
        <v>67</v>
      </c>
      <c r="G43" s="6" t="s">
        <v>71</v>
      </c>
    </row>
    <row r="44" customFormat="false" ht="23.25" hidden="false" customHeight="true" outlineLevel="0" collapsed="false">
      <c r="A44" s="6" t="n">
        <v>43</v>
      </c>
      <c r="B44" s="7" t="n">
        <v>46023</v>
      </c>
      <c r="C44" s="6" t="s">
        <v>131</v>
      </c>
      <c r="D44" s="6" t="s">
        <v>132</v>
      </c>
      <c r="E44" s="6" t="s">
        <v>31</v>
      </c>
      <c r="F44" s="6" t="s">
        <v>98</v>
      </c>
      <c r="G44" s="6" t="s">
        <v>71</v>
      </c>
    </row>
    <row r="45" customFormat="false" ht="23.25" hidden="false" customHeight="true" outlineLevel="0" collapsed="false">
      <c r="A45" s="6" t="n">
        <v>44</v>
      </c>
      <c r="B45" s="7" t="n">
        <v>46023</v>
      </c>
      <c r="C45" s="6" t="s">
        <v>64</v>
      </c>
      <c r="D45" s="6" t="s">
        <v>133</v>
      </c>
      <c r="E45" s="6" t="s">
        <v>134</v>
      </c>
      <c r="F45" s="6" t="s">
        <v>67</v>
      </c>
      <c r="G45" s="6" t="s">
        <v>71</v>
      </c>
    </row>
    <row r="46" customFormat="false" ht="23.25" hidden="false" customHeight="true" outlineLevel="0" collapsed="false">
      <c r="A46" s="6" t="n">
        <v>45</v>
      </c>
      <c r="B46" s="7" t="n">
        <v>46024</v>
      </c>
      <c r="C46" s="6" t="s">
        <v>64</v>
      </c>
      <c r="D46" s="6" t="s">
        <v>135</v>
      </c>
      <c r="E46" s="6" t="s">
        <v>136</v>
      </c>
      <c r="F46" s="6" t="s">
        <v>67</v>
      </c>
      <c r="G46" s="6" t="s">
        <v>71</v>
      </c>
    </row>
    <row r="47" customFormat="false" ht="23.25" hidden="false" customHeight="true" outlineLevel="0" collapsed="false">
      <c r="A47" s="6" t="n">
        <v>46</v>
      </c>
      <c r="B47" s="7" t="n">
        <v>46025</v>
      </c>
      <c r="C47" s="6" t="s">
        <v>137</v>
      </c>
      <c r="D47" s="6" t="s">
        <v>138</v>
      </c>
      <c r="E47" s="6" t="s">
        <v>31</v>
      </c>
      <c r="F47" s="6" t="s">
        <v>101</v>
      </c>
      <c r="G47" s="6"/>
    </row>
    <row r="48" customFormat="false" ht="23.25" hidden="false" customHeight="true" outlineLevel="0" collapsed="false">
      <c r="A48" s="6" t="n">
        <v>47</v>
      </c>
      <c r="B48" s="7" t="n">
        <v>46026</v>
      </c>
      <c r="C48" s="6" t="s">
        <v>109</v>
      </c>
      <c r="D48" s="6" t="s">
        <v>139</v>
      </c>
      <c r="E48" s="6" t="s">
        <v>140</v>
      </c>
      <c r="F48" s="6" t="s">
        <v>56</v>
      </c>
      <c r="G48" s="6"/>
    </row>
    <row r="49" customFormat="false" ht="23.25" hidden="false" customHeight="true" outlineLevel="0" collapsed="false">
      <c r="A49" s="6" t="n">
        <v>48</v>
      </c>
      <c r="B49" s="7" t="n">
        <v>46028</v>
      </c>
      <c r="C49" s="6" t="s">
        <v>64</v>
      </c>
      <c r="D49" s="6" t="s">
        <v>141</v>
      </c>
      <c r="E49" s="6" t="s">
        <v>142</v>
      </c>
      <c r="F49" s="6" t="s">
        <v>67</v>
      </c>
      <c r="G49" s="6" t="s">
        <v>71</v>
      </c>
    </row>
    <row r="50" customFormat="false" ht="23.25" hidden="false" customHeight="true" outlineLevel="0" collapsed="false">
      <c r="A50" s="6" t="n">
        <v>49</v>
      </c>
      <c r="B50" s="7" t="n">
        <v>46077</v>
      </c>
      <c r="C50" s="6" t="s">
        <v>64</v>
      </c>
      <c r="D50" s="6" t="s">
        <v>143</v>
      </c>
      <c r="E50" s="6" t="s">
        <v>144</v>
      </c>
      <c r="F50" s="6" t="s">
        <v>67</v>
      </c>
      <c r="G50" s="6" t="s">
        <v>68</v>
      </c>
    </row>
    <row r="51" customFormat="false" ht="23.25" hidden="false" customHeight="true" outlineLevel="0" collapsed="false">
      <c r="A51" s="6" t="n">
        <v>50</v>
      </c>
      <c r="B51" s="7" t="n">
        <v>46082</v>
      </c>
      <c r="C51" s="6" t="s">
        <v>145</v>
      </c>
      <c r="D51" s="6" t="s">
        <v>146</v>
      </c>
      <c r="E51" s="6" t="s">
        <v>31</v>
      </c>
      <c r="F51" s="6" t="s">
        <v>98</v>
      </c>
      <c r="G51" s="6" t="s">
        <v>71</v>
      </c>
    </row>
    <row r="52" customFormat="false" ht="23.25" hidden="false" customHeight="true" outlineLevel="0" collapsed="false">
      <c r="A52" s="6" t="n">
        <v>51</v>
      </c>
      <c r="B52" s="7" t="n">
        <v>46082</v>
      </c>
      <c r="C52" s="6" t="s">
        <v>64</v>
      </c>
      <c r="D52" s="6" t="s">
        <v>147</v>
      </c>
      <c r="E52" s="6" t="s">
        <v>148</v>
      </c>
      <c r="F52" s="6" t="s">
        <v>67</v>
      </c>
      <c r="G52" s="6" t="s">
        <v>68</v>
      </c>
    </row>
    <row r="53" customFormat="false" ht="23.25" hidden="false" customHeight="true" outlineLevel="0" collapsed="false">
      <c r="A53" s="6" t="n">
        <v>52</v>
      </c>
      <c r="B53" s="7" t="n">
        <v>46083</v>
      </c>
      <c r="C53" s="6" t="s">
        <v>64</v>
      </c>
      <c r="D53" s="6" t="s">
        <v>149</v>
      </c>
      <c r="E53" s="6" t="s">
        <v>144</v>
      </c>
      <c r="F53" s="6" t="s">
        <v>67</v>
      </c>
      <c r="G53" s="6" t="s">
        <v>68</v>
      </c>
    </row>
    <row r="54" customFormat="false" ht="23.25" hidden="false" customHeight="true" outlineLevel="0" collapsed="false">
      <c r="A54" s="6" t="n">
        <v>53</v>
      </c>
      <c r="B54" s="7" t="n">
        <v>46084</v>
      </c>
      <c r="C54" s="6" t="s">
        <v>64</v>
      </c>
      <c r="D54" s="6" t="s">
        <v>150</v>
      </c>
      <c r="E54" s="6" t="s">
        <v>151</v>
      </c>
      <c r="F54" s="6" t="s">
        <v>67</v>
      </c>
      <c r="G54" s="6" t="s">
        <v>68</v>
      </c>
    </row>
    <row r="55" customFormat="false" ht="23.25" hidden="false" customHeight="true" outlineLevel="0" collapsed="false">
      <c r="A55" s="6" t="n">
        <v>54</v>
      </c>
      <c r="B55" s="7" t="n">
        <v>46085</v>
      </c>
      <c r="C55" s="6" t="s">
        <v>64</v>
      </c>
      <c r="D55" s="6" t="s">
        <v>152</v>
      </c>
      <c r="E55" s="6" t="s">
        <v>153</v>
      </c>
      <c r="F55" s="6" t="s">
        <v>67</v>
      </c>
      <c r="G55" s="6" t="s">
        <v>68</v>
      </c>
    </row>
    <row r="56" customFormat="false" ht="23.25" hidden="false" customHeight="true" outlineLevel="0" collapsed="false">
      <c r="A56" s="6" t="n">
        <v>55</v>
      </c>
      <c r="B56" s="7" t="n">
        <v>46087</v>
      </c>
      <c r="C56" s="6" t="s">
        <v>64</v>
      </c>
      <c r="D56" s="6" t="s">
        <v>154</v>
      </c>
      <c r="E56" s="6" t="s">
        <v>153</v>
      </c>
      <c r="F56" s="6" t="s">
        <v>67</v>
      </c>
      <c r="G56" s="6" t="s">
        <v>68</v>
      </c>
    </row>
    <row r="57" customFormat="false" ht="23.25" hidden="false" customHeight="true" outlineLevel="0" collapsed="false">
      <c r="A57" s="6" t="n">
        <v>56</v>
      </c>
      <c r="B57" s="7" t="n">
        <v>46088</v>
      </c>
      <c r="C57" s="6" t="s">
        <v>64</v>
      </c>
      <c r="D57" s="6" t="s">
        <v>155</v>
      </c>
      <c r="E57" s="6" t="s">
        <v>151</v>
      </c>
      <c r="F57" s="6" t="s">
        <v>67</v>
      </c>
      <c r="G57" s="6" t="s">
        <v>68</v>
      </c>
    </row>
    <row r="58" customFormat="false" ht="23.25" hidden="false" customHeight="true" outlineLevel="0" collapsed="false">
      <c r="A58" s="6" t="n">
        <v>57</v>
      </c>
      <c r="B58" s="7" t="n">
        <v>46089</v>
      </c>
      <c r="C58" s="6" t="s">
        <v>64</v>
      </c>
      <c r="D58" s="6" t="s">
        <v>156</v>
      </c>
      <c r="E58" s="6" t="s">
        <v>157</v>
      </c>
      <c r="F58" s="6" t="s">
        <v>67</v>
      </c>
      <c r="G58" s="6" t="s">
        <v>68</v>
      </c>
    </row>
    <row r="59" customFormat="false" ht="23.25" hidden="false" customHeight="true" outlineLevel="0" collapsed="false">
      <c r="A59" s="6" t="n">
        <v>58</v>
      </c>
      <c r="B59" s="7" t="n">
        <v>46090</v>
      </c>
      <c r="C59" s="6" t="s">
        <v>64</v>
      </c>
      <c r="D59" s="6" t="s">
        <v>158</v>
      </c>
      <c r="E59" s="6" t="s">
        <v>159</v>
      </c>
      <c r="F59" s="6" t="s">
        <v>67</v>
      </c>
      <c r="G59" s="6" t="s">
        <v>68</v>
      </c>
    </row>
    <row r="60" customFormat="false" ht="23.25" hidden="false" customHeight="true" outlineLevel="0" collapsed="false">
      <c r="A60" s="6" t="n">
        <v>59</v>
      </c>
      <c r="B60" s="7" t="n">
        <v>46091</v>
      </c>
      <c r="C60" s="6" t="s">
        <v>160</v>
      </c>
      <c r="D60" s="6" t="s">
        <v>161</v>
      </c>
      <c r="E60" s="6" t="s">
        <v>31</v>
      </c>
      <c r="F60" s="6" t="s">
        <v>162</v>
      </c>
      <c r="G60" s="6"/>
    </row>
    <row r="61" customFormat="false" ht="23.25" hidden="false" customHeight="true" outlineLevel="0" collapsed="false">
      <c r="A61" s="6" t="n">
        <v>60</v>
      </c>
      <c r="B61" s="7" t="n">
        <v>46091</v>
      </c>
      <c r="C61" s="6" t="s">
        <v>64</v>
      </c>
      <c r="D61" s="6" t="s">
        <v>163</v>
      </c>
      <c r="E61" s="6" t="s">
        <v>153</v>
      </c>
      <c r="F61" s="6" t="s">
        <v>67</v>
      </c>
      <c r="G61" s="6" t="s">
        <v>68</v>
      </c>
    </row>
    <row r="62" customFormat="false" ht="23.25" hidden="false" customHeight="true" outlineLevel="0" collapsed="false">
      <c r="A62" s="6" t="n">
        <v>61</v>
      </c>
      <c r="B62" s="7" t="n">
        <v>46092</v>
      </c>
      <c r="C62" s="6" t="s">
        <v>64</v>
      </c>
      <c r="D62" s="6" t="s">
        <v>164</v>
      </c>
      <c r="E62" s="6" t="s">
        <v>165</v>
      </c>
      <c r="F62" s="6" t="s">
        <v>67</v>
      </c>
      <c r="G62" s="6" t="s">
        <v>68</v>
      </c>
    </row>
    <row r="63" customFormat="false" ht="23.25" hidden="false" customHeight="true" outlineLevel="0" collapsed="false">
      <c r="A63" s="6" t="n">
        <v>62</v>
      </c>
      <c r="B63" s="7" t="n">
        <v>46093</v>
      </c>
      <c r="C63" s="6" t="s">
        <v>64</v>
      </c>
      <c r="D63" s="6" t="s">
        <v>166</v>
      </c>
      <c r="E63" s="6" t="s">
        <v>157</v>
      </c>
      <c r="F63" s="6" t="s">
        <v>67</v>
      </c>
      <c r="G63" s="6" t="s">
        <v>71</v>
      </c>
    </row>
    <row r="64" customFormat="false" ht="15" hidden="false" customHeight="true" outlineLevel="0" collapsed="false">
      <c r="A64" s="6" t="n">
        <v>63</v>
      </c>
      <c r="B64" s="7" t="n">
        <v>46094</v>
      </c>
      <c r="C64" s="6" t="s">
        <v>104</v>
      </c>
      <c r="D64" s="6" t="s">
        <v>167</v>
      </c>
      <c r="E64" s="6" t="s">
        <v>168</v>
      </c>
      <c r="F64" s="6" t="s">
        <v>56</v>
      </c>
      <c r="G64" s="6"/>
    </row>
    <row r="65" customFormat="false" ht="23.25" hidden="false" customHeight="true" outlineLevel="0" collapsed="false">
      <c r="A65" s="6" t="n">
        <v>64</v>
      </c>
      <c r="B65" s="7" t="n">
        <v>46097</v>
      </c>
      <c r="C65" s="6" t="s">
        <v>169</v>
      </c>
      <c r="D65" s="6" t="s">
        <v>170</v>
      </c>
      <c r="E65" s="6" t="s">
        <v>171</v>
      </c>
      <c r="F65" s="6" t="s">
        <v>56</v>
      </c>
      <c r="G65" s="6"/>
    </row>
    <row r="66" customFormat="false" ht="15" hidden="false" customHeight="true" outlineLevel="0" collapsed="false">
      <c r="A66" s="6" t="n">
        <v>65</v>
      </c>
      <c r="B66" s="7" t="n">
        <v>46121</v>
      </c>
      <c r="C66" s="6" t="s">
        <v>169</v>
      </c>
      <c r="D66" s="6" t="s">
        <v>172</v>
      </c>
      <c r="E66" s="6" t="s">
        <v>173</v>
      </c>
      <c r="F66" s="6" t="s">
        <v>56</v>
      </c>
      <c r="G66" s="6"/>
    </row>
    <row r="67" customFormat="false" ht="23.25" hidden="false" customHeight="true" outlineLevel="0" collapsed="false">
      <c r="A67" s="6" t="n">
        <v>66</v>
      </c>
      <c r="B67" s="7" t="n">
        <v>46169</v>
      </c>
      <c r="C67" s="6" t="s">
        <v>104</v>
      </c>
      <c r="D67" s="6" t="s">
        <v>174</v>
      </c>
      <c r="E67" s="6" t="s">
        <v>175</v>
      </c>
      <c r="F67" s="6" t="s">
        <v>56</v>
      </c>
      <c r="G67" s="6"/>
    </row>
    <row r="68" customFormat="false" ht="23.25" hidden="false" customHeight="true" outlineLevel="0" collapsed="false">
      <c r="A68" s="6" t="n">
        <v>67</v>
      </c>
      <c r="B68" s="7" t="n">
        <v>46169</v>
      </c>
      <c r="C68" s="6" t="s">
        <v>104</v>
      </c>
      <c r="D68" s="6" t="s">
        <v>176</v>
      </c>
      <c r="E68" s="6" t="s">
        <v>177</v>
      </c>
      <c r="F68" s="6" t="s">
        <v>56</v>
      </c>
      <c r="G68" s="6"/>
    </row>
    <row r="69" customFormat="false" ht="34.5" hidden="false" customHeight="true" outlineLevel="0" collapsed="false">
      <c r="A69" s="6" t="n">
        <v>68</v>
      </c>
      <c r="B69" s="7" t="n">
        <v>46169</v>
      </c>
      <c r="C69" s="6" t="s">
        <v>178</v>
      </c>
      <c r="D69" s="6" t="s">
        <v>179</v>
      </c>
      <c r="E69" s="6" t="s">
        <v>180</v>
      </c>
      <c r="F69" s="6" t="s">
        <v>181</v>
      </c>
      <c r="G69" s="6"/>
    </row>
    <row r="70" customFormat="false" ht="23.25" hidden="false" customHeight="true" outlineLevel="0" collapsed="false">
      <c r="A70" s="6" t="n">
        <v>69</v>
      </c>
      <c r="B70" s="7" t="n">
        <v>46204</v>
      </c>
      <c r="C70" s="6" t="s">
        <v>178</v>
      </c>
      <c r="D70" s="6" t="s">
        <v>182</v>
      </c>
      <c r="E70" s="6" t="s">
        <v>183</v>
      </c>
      <c r="F70" s="6" t="s">
        <v>184</v>
      </c>
      <c r="G70" s="6"/>
    </row>
    <row r="71" customFormat="false" ht="23.25" hidden="false" customHeight="true" outlineLevel="0" collapsed="false">
      <c r="A71" s="6" t="n">
        <v>70</v>
      </c>
      <c r="B71" s="7" t="n">
        <v>46259</v>
      </c>
      <c r="C71" s="6" t="s">
        <v>104</v>
      </c>
      <c r="D71" s="6" t="s">
        <v>185</v>
      </c>
      <c r="E71" s="6" t="s">
        <v>186</v>
      </c>
      <c r="F71" s="6" t="s">
        <v>56</v>
      </c>
      <c r="G71" s="6"/>
    </row>
    <row r="72" customFormat="false" ht="15" hidden="false" customHeight="true" outlineLevel="0" collapsed="false">
      <c r="A72" s="6" t="n">
        <v>71</v>
      </c>
      <c r="B72" s="7" t="n">
        <v>46262</v>
      </c>
      <c r="C72" s="6" t="s">
        <v>187</v>
      </c>
      <c r="D72" s="6" t="s">
        <v>188</v>
      </c>
      <c r="E72" s="6" t="s">
        <v>189</v>
      </c>
      <c r="F72" s="6" t="s">
        <v>56</v>
      </c>
      <c r="G72" s="6"/>
    </row>
    <row r="73" customFormat="false" ht="23.25" hidden="false" customHeight="true" outlineLevel="0" collapsed="false">
      <c r="A73" s="6" t="n">
        <v>72</v>
      </c>
      <c r="B73" s="7" t="n">
        <v>46285</v>
      </c>
      <c r="C73" s="6" t="s">
        <v>169</v>
      </c>
      <c r="D73" s="6" t="s">
        <v>190</v>
      </c>
      <c r="E73" s="6" t="s">
        <v>191</v>
      </c>
      <c r="F73" s="6" t="s">
        <v>56</v>
      </c>
      <c r="G73" s="6"/>
    </row>
    <row r="74" customFormat="false" ht="15" hidden="false" customHeight="true" outlineLevel="0" collapsed="false">
      <c r="A74" s="6" t="n">
        <v>73</v>
      </c>
      <c r="B74" s="7" t="n">
        <v>46295</v>
      </c>
      <c r="C74" s="6" t="s">
        <v>109</v>
      </c>
      <c r="D74" s="6" t="s">
        <v>192</v>
      </c>
      <c r="E74" s="6" t="s">
        <v>193</v>
      </c>
      <c r="F74" s="6" t="s">
        <v>56</v>
      </c>
      <c r="G74" s="6"/>
    </row>
    <row r="75" customFormat="false" ht="34.5" hidden="false" customHeight="true" outlineLevel="0" collapsed="false">
      <c r="A75" s="6" t="n">
        <v>74</v>
      </c>
      <c r="B75" s="7" t="n">
        <v>46296</v>
      </c>
      <c r="C75" s="6" t="s">
        <v>109</v>
      </c>
      <c r="D75" s="6" t="s">
        <v>194</v>
      </c>
      <c r="E75" s="6" t="s">
        <v>195</v>
      </c>
      <c r="F75" s="6" t="s">
        <v>56</v>
      </c>
      <c r="G75" s="6"/>
    </row>
    <row r="76" customFormat="false" ht="15" hidden="false" customHeight="true" outlineLevel="0" collapsed="false">
      <c r="A76" s="6" t="n">
        <v>75</v>
      </c>
      <c r="B76" s="7" t="n">
        <v>46305</v>
      </c>
      <c r="C76" s="6" t="s">
        <v>196</v>
      </c>
      <c r="D76" s="6" t="s">
        <v>197</v>
      </c>
      <c r="E76" s="6" t="s">
        <v>198</v>
      </c>
      <c r="F76" s="6" t="s">
        <v>41</v>
      </c>
      <c r="G76" s="6"/>
    </row>
    <row r="78" customFormat="false" ht="15" hidden="false" customHeight="true" outlineLevel="0" collapsed="false">
      <c r="A78" s="8"/>
      <c r="B78" s="8" t="s">
        <v>199</v>
      </c>
      <c r="C78" s="8" t="s">
        <v>200</v>
      </c>
      <c r="D78" s="8" t="n">
        <f aca="false">COUNTIF(C2:C76,"Kevin contact")</f>
        <v>33</v>
      </c>
      <c r="E78" s="8"/>
      <c r="F78" s="8"/>
      <c r="G78" s="8"/>
    </row>
    <row r="79" customFormat="false" ht="15" hidden="false" customHeight="true" outlineLevel="0" collapsed="false">
      <c r="A79" s="8"/>
      <c r="B79" s="8"/>
      <c r="C79" s="8" t="s">
        <v>201</v>
      </c>
      <c r="D79" s="8" t="n">
        <f aca="false">COUNTIF(G2:G76,"🚨")</f>
        <v>15</v>
      </c>
      <c r="E79" s="8"/>
      <c r="F79" s="8"/>
      <c r="G79" s="8"/>
    </row>
    <row r="80" customFormat="false" ht="15" hidden="false" customHeight="true" outlineLevel="0" collapsed="false">
      <c r="A80" s="8"/>
      <c r="B80" s="8"/>
      <c r="C80" s="8" t="s">
        <v>202</v>
      </c>
      <c r="D80" s="8" t="n">
        <f aca="false">COUNTA(C2:C76)</f>
        <v>75</v>
      </c>
      <c r="E80" s="8"/>
      <c r="F80" s="8"/>
      <c r="G80" s="8"/>
    </row>
  </sheetData>
  <autoFilter ref="A1:G7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6"/>
    <col collapsed="false" customWidth="true" hidden="false" outlineLevel="0" max="3" min="3" style="1" width="80"/>
    <col collapsed="false" customWidth="true" hidden="false" outlineLevel="0" max="5" min="4" style="1" width="9"/>
    <col collapsed="false" customWidth="true" hidden="false" outlineLevel="0" max="6" min="6" style="1" width="12"/>
    <col collapsed="false" customWidth="true" hidden="false" outlineLevel="0" max="7" min="7" style="1" width="60"/>
  </cols>
  <sheetData>
    <row r="1" customFormat="false" ht="64.5" hidden="false" customHeight="true" outlineLevel="0" collapsed="false">
      <c r="A1" s="5" t="s">
        <v>23</v>
      </c>
      <c r="B1" s="5" t="s">
        <v>203</v>
      </c>
      <c r="C1" s="5" t="s">
        <v>204</v>
      </c>
      <c r="D1" s="5" t="s">
        <v>205</v>
      </c>
      <c r="E1" s="5" t="s">
        <v>206</v>
      </c>
      <c r="F1" s="5" t="s">
        <v>207</v>
      </c>
      <c r="G1" s="5" t="s">
        <v>208</v>
      </c>
    </row>
    <row r="2" customFormat="false" ht="102" hidden="false" customHeight="true" outlineLevel="0" collapsed="false">
      <c r="A2" s="7" t="n">
        <v>45977</v>
      </c>
      <c r="B2" s="6" t="s">
        <v>209</v>
      </c>
      <c r="C2" s="6" t="s">
        <v>210</v>
      </c>
      <c r="D2" s="6" t="n">
        <v>4</v>
      </c>
      <c r="E2" s="6" t="n">
        <v>4</v>
      </c>
      <c r="F2" s="6" t="n">
        <v>22</v>
      </c>
      <c r="G2" s="6" t="s">
        <v>211</v>
      </c>
    </row>
    <row r="3" customFormat="false" ht="113.25" hidden="false" customHeight="true" outlineLevel="0" collapsed="false">
      <c r="A3" s="7" t="n">
        <v>45978</v>
      </c>
      <c r="B3" s="6" t="s">
        <v>212</v>
      </c>
      <c r="C3" s="6" t="s">
        <v>213</v>
      </c>
      <c r="D3" s="6" t="n">
        <v>1</v>
      </c>
      <c r="E3" s="6" t="n">
        <v>2</v>
      </c>
      <c r="F3" s="6" t="n">
        <v>13</v>
      </c>
      <c r="G3" s="6" t="s">
        <v>214</v>
      </c>
    </row>
    <row r="4" customFormat="false" ht="34.5" hidden="false" customHeight="true" outlineLevel="0" collapsed="false">
      <c r="A4" s="7" t="n">
        <v>45979</v>
      </c>
      <c r="B4" s="6" t="s">
        <v>215</v>
      </c>
      <c r="C4" s="6" t="s">
        <v>216</v>
      </c>
      <c r="D4" s="6" t="n">
        <v>1</v>
      </c>
      <c r="E4" s="6" t="n">
        <v>1</v>
      </c>
      <c r="F4" s="6" t="n">
        <v>3</v>
      </c>
      <c r="G4" s="6" t="s">
        <v>72</v>
      </c>
    </row>
    <row r="5" customFormat="false" ht="23.25" hidden="false" customHeight="true" outlineLevel="0" collapsed="false">
      <c r="A5" s="7" t="n">
        <v>45984</v>
      </c>
      <c r="B5" s="6" t="s">
        <v>209</v>
      </c>
      <c r="C5" s="6" t="s">
        <v>217</v>
      </c>
      <c r="D5" s="6" t="n">
        <v>2</v>
      </c>
      <c r="E5" s="6" t="n">
        <v>0</v>
      </c>
      <c r="F5" s="6" t="n">
        <v>4</v>
      </c>
      <c r="G5" s="6"/>
    </row>
    <row r="6" customFormat="false" ht="124.5" hidden="false" customHeight="true" outlineLevel="0" collapsed="false">
      <c r="A6" s="7" t="n">
        <v>45985</v>
      </c>
      <c r="B6" s="6" t="s">
        <v>212</v>
      </c>
      <c r="C6" s="6" t="s">
        <v>218</v>
      </c>
      <c r="D6" s="6" t="n">
        <v>5</v>
      </c>
      <c r="E6" s="6" t="n">
        <v>5</v>
      </c>
      <c r="F6" s="6" t="n">
        <v>31</v>
      </c>
      <c r="G6" s="6" t="s">
        <v>219</v>
      </c>
    </row>
    <row r="7" customFormat="false" ht="225" hidden="false" customHeight="true" outlineLevel="0" collapsed="false">
      <c r="A7" s="7" t="n">
        <v>45986</v>
      </c>
      <c r="B7" s="6" t="s">
        <v>215</v>
      </c>
      <c r="C7" s="6" t="s">
        <v>220</v>
      </c>
      <c r="D7" s="6" t="n">
        <v>8</v>
      </c>
      <c r="E7" s="6" t="n">
        <v>8</v>
      </c>
      <c r="F7" s="6"/>
      <c r="G7" s="6" t="s">
        <v>221</v>
      </c>
    </row>
    <row r="8" customFormat="false" ht="57" hidden="false" customHeight="true" outlineLevel="0" collapsed="false">
      <c r="A8" s="7" t="n">
        <v>45987</v>
      </c>
      <c r="B8" s="6" t="s">
        <v>222</v>
      </c>
      <c r="C8" s="6" t="s">
        <v>223</v>
      </c>
      <c r="D8" s="6" t="n">
        <v>3</v>
      </c>
      <c r="E8" s="6" t="n">
        <v>2</v>
      </c>
      <c r="F8" s="6" t="n">
        <v>11</v>
      </c>
      <c r="G8" s="6" t="s">
        <v>80</v>
      </c>
    </row>
    <row r="9" customFormat="false" ht="34.5" hidden="false" customHeight="true" outlineLevel="0" collapsed="false">
      <c r="A9" s="7" t="n">
        <v>45988</v>
      </c>
      <c r="B9" s="6" t="s">
        <v>224</v>
      </c>
      <c r="C9" s="6" t="s">
        <v>225</v>
      </c>
      <c r="D9" s="6" t="n">
        <v>2</v>
      </c>
      <c r="E9" s="6" t="n">
        <v>1</v>
      </c>
      <c r="F9" s="6" t="n">
        <v>31</v>
      </c>
      <c r="G9" s="6"/>
    </row>
    <row r="10" customFormat="false" ht="102" hidden="false" customHeight="true" outlineLevel="0" collapsed="false">
      <c r="A10" s="7" t="n">
        <v>45991</v>
      </c>
      <c r="B10" s="6" t="s">
        <v>209</v>
      </c>
      <c r="C10" s="6" t="s">
        <v>226</v>
      </c>
      <c r="D10" s="6" t="n">
        <v>3</v>
      </c>
      <c r="E10" s="6" t="n">
        <v>3</v>
      </c>
      <c r="F10" s="6" t="n">
        <v>211</v>
      </c>
      <c r="G10" s="6"/>
    </row>
    <row r="11" customFormat="false" ht="68.25" hidden="false" customHeight="true" outlineLevel="0" collapsed="false">
      <c r="A11" s="7" t="n">
        <v>45992</v>
      </c>
      <c r="B11" s="6" t="s">
        <v>212</v>
      </c>
      <c r="C11" s="6" t="s">
        <v>227</v>
      </c>
      <c r="D11" s="6" t="n">
        <v>2</v>
      </c>
      <c r="E11" s="6" t="n">
        <v>2</v>
      </c>
      <c r="F11" s="6" t="n">
        <v>27</v>
      </c>
      <c r="G11" s="6" t="s">
        <v>228</v>
      </c>
    </row>
    <row r="12" customFormat="false" ht="57" hidden="false" customHeight="true" outlineLevel="0" collapsed="false">
      <c r="A12" s="7" t="n">
        <v>45993</v>
      </c>
      <c r="B12" s="6" t="s">
        <v>215</v>
      </c>
      <c r="C12" s="6" t="s">
        <v>229</v>
      </c>
      <c r="D12" s="6" t="n">
        <v>1</v>
      </c>
      <c r="E12" s="6" t="n">
        <v>1</v>
      </c>
      <c r="F12" s="6" t="n">
        <v>5</v>
      </c>
      <c r="G12" s="6" t="s">
        <v>88</v>
      </c>
    </row>
    <row r="13" customFormat="false" ht="102" hidden="false" customHeight="true" outlineLevel="0" collapsed="false">
      <c r="A13" s="7" t="n">
        <v>45994</v>
      </c>
      <c r="B13" s="6" t="s">
        <v>222</v>
      </c>
      <c r="C13" s="6" t="s">
        <v>230</v>
      </c>
      <c r="D13" s="6" t="n">
        <v>3</v>
      </c>
      <c r="E13" s="6" t="n">
        <v>4</v>
      </c>
      <c r="F13" s="6" t="n">
        <v>50</v>
      </c>
      <c r="G13" s="6" t="s">
        <v>92</v>
      </c>
    </row>
    <row r="14" customFormat="false" ht="23.25" hidden="false" customHeight="true" outlineLevel="0" collapsed="false">
      <c r="A14" s="7" t="n">
        <v>45995</v>
      </c>
      <c r="B14" s="6" t="s">
        <v>224</v>
      </c>
      <c r="C14" s="6" t="s">
        <v>231</v>
      </c>
      <c r="D14" s="6" t="n">
        <v>1</v>
      </c>
      <c r="E14" s="6" t="n">
        <v>1</v>
      </c>
      <c r="F14" s="6" t="n">
        <v>35</v>
      </c>
      <c r="G14" s="6"/>
    </row>
    <row r="15" customFormat="false" ht="102" hidden="false" customHeight="true" outlineLevel="0" collapsed="false">
      <c r="A15" s="7" t="n">
        <v>45997</v>
      </c>
      <c r="B15" s="6" t="s">
        <v>232</v>
      </c>
      <c r="C15" s="6" t="s">
        <v>233</v>
      </c>
      <c r="D15" s="6" t="n">
        <v>3</v>
      </c>
      <c r="E15" s="6" t="n">
        <v>4</v>
      </c>
      <c r="F15" s="6" t="n">
        <v>33</v>
      </c>
      <c r="G15" s="6" t="s">
        <v>234</v>
      </c>
    </row>
    <row r="16" customFormat="false" ht="135.75" hidden="false" customHeight="true" outlineLevel="0" collapsed="false">
      <c r="A16" s="7" t="n">
        <v>45998</v>
      </c>
      <c r="B16" s="6" t="s">
        <v>209</v>
      </c>
      <c r="C16" s="6" t="s">
        <v>235</v>
      </c>
      <c r="D16" s="6" t="n">
        <v>4</v>
      </c>
      <c r="E16" s="6" t="n">
        <v>5</v>
      </c>
      <c r="F16" s="6" t="n">
        <v>28</v>
      </c>
      <c r="G16" s="6" t="s">
        <v>236</v>
      </c>
    </row>
    <row r="17" customFormat="false" ht="191.25" hidden="false" customHeight="true" outlineLevel="0" collapsed="false">
      <c r="A17" s="7" t="n">
        <v>45999</v>
      </c>
      <c r="B17" s="6" t="s">
        <v>212</v>
      </c>
      <c r="C17" s="6" t="s">
        <v>237</v>
      </c>
      <c r="D17" s="6" t="n">
        <v>3</v>
      </c>
      <c r="E17" s="6" t="n">
        <v>5</v>
      </c>
      <c r="F17" s="6" t="n">
        <v>73</v>
      </c>
      <c r="G17" s="6" t="s">
        <v>238</v>
      </c>
    </row>
    <row r="18" customFormat="false" ht="23.25" hidden="false" customHeight="true" outlineLevel="0" collapsed="false">
      <c r="A18" s="7" t="n">
        <v>46016</v>
      </c>
      <c r="B18" s="6" t="s">
        <v>224</v>
      </c>
      <c r="C18" s="6" t="s">
        <v>239</v>
      </c>
      <c r="D18" s="6" t="n">
        <v>0</v>
      </c>
      <c r="E18" s="6" t="n">
        <v>0</v>
      </c>
      <c r="F18" s="6" t="n">
        <v>40</v>
      </c>
      <c r="G18" s="6" t="s">
        <v>127</v>
      </c>
    </row>
    <row r="19" customFormat="false" ht="34.5" hidden="false" customHeight="true" outlineLevel="0" collapsed="false">
      <c r="A19" s="7" t="n">
        <v>46022</v>
      </c>
      <c r="B19" s="6" t="s">
        <v>222</v>
      </c>
      <c r="C19" s="6" t="s">
        <v>240</v>
      </c>
      <c r="D19" s="6"/>
      <c r="E19" s="6"/>
      <c r="F19" s="6" t="n">
        <v>60</v>
      </c>
      <c r="G19" s="6" t="s">
        <v>241</v>
      </c>
    </row>
    <row r="20" customFormat="false" ht="15" hidden="false" customHeight="true" outlineLevel="0" collapsed="false">
      <c r="A20" s="7" t="n">
        <v>46023</v>
      </c>
      <c r="B20" s="6" t="s">
        <v>224</v>
      </c>
      <c r="C20" s="6" t="s">
        <v>242</v>
      </c>
      <c r="D20" s="6"/>
      <c r="E20" s="6"/>
      <c r="F20" s="6" t="n">
        <v>9</v>
      </c>
      <c r="G20" s="6" t="s">
        <v>133</v>
      </c>
    </row>
    <row r="21" customFormat="false" ht="23.25" hidden="false" customHeight="true" outlineLevel="0" collapsed="false">
      <c r="A21" s="7" t="n">
        <v>46024</v>
      </c>
      <c r="B21" s="6" t="s">
        <v>243</v>
      </c>
      <c r="C21" s="6" t="s">
        <v>244</v>
      </c>
      <c r="D21" s="6"/>
      <c r="E21" s="6"/>
      <c r="F21" s="6" t="n">
        <v>67</v>
      </c>
      <c r="G21" s="6" t="s">
        <v>135</v>
      </c>
    </row>
    <row r="22" customFormat="false" ht="23.25" hidden="false" customHeight="true" outlineLevel="0" collapsed="false">
      <c r="A22" s="7" t="n">
        <v>46028</v>
      </c>
      <c r="B22" s="6" t="s">
        <v>215</v>
      </c>
      <c r="C22" s="6" t="s">
        <v>245</v>
      </c>
      <c r="D22" s="6" t="n">
        <v>0</v>
      </c>
      <c r="E22" s="6" t="n">
        <v>0</v>
      </c>
      <c r="F22" s="6" t="n">
        <v>43</v>
      </c>
      <c r="G22" s="6" t="s">
        <v>141</v>
      </c>
    </row>
    <row r="23" customFormat="false" ht="15" hidden="false" customHeight="true" outlineLevel="0" collapsed="false">
      <c r="A23" s="7" t="n">
        <v>46077</v>
      </c>
      <c r="B23" s="6" t="s">
        <v>215</v>
      </c>
      <c r="C23" s="6" t="s">
        <v>143</v>
      </c>
      <c r="D23" s="6" t="n">
        <v>0</v>
      </c>
      <c r="E23" s="6" t="n">
        <v>0</v>
      </c>
      <c r="F23" s="6"/>
      <c r="G23" s="6"/>
    </row>
    <row r="24" customFormat="false" ht="15" hidden="false" customHeight="true" outlineLevel="0" collapsed="false">
      <c r="A24" s="7" t="n">
        <v>46082</v>
      </c>
      <c r="B24" s="6" t="s">
        <v>209</v>
      </c>
      <c r="C24" s="6" t="s">
        <v>147</v>
      </c>
      <c r="D24" s="6" t="n">
        <v>1</v>
      </c>
      <c r="E24" s="6" t="n">
        <v>0</v>
      </c>
      <c r="F24" s="6" t="n">
        <v>20</v>
      </c>
      <c r="G24" s="6"/>
    </row>
    <row r="25" customFormat="false" ht="15" hidden="false" customHeight="true" outlineLevel="0" collapsed="false">
      <c r="A25" s="7" t="n">
        <v>46083</v>
      </c>
      <c r="B25" s="6" t="s">
        <v>212</v>
      </c>
      <c r="C25" s="6" t="s">
        <v>246</v>
      </c>
      <c r="D25" s="6" t="n">
        <v>0</v>
      </c>
      <c r="E25" s="6" t="n">
        <v>0</v>
      </c>
      <c r="F25" s="6"/>
      <c r="G25" s="6" t="s">
        <v>149</v>
      </c>
    </row>
    <row r="26" customFormat="false" ht="15" hidden="false" customHeight="true" outlineLevel="0" collapsed="false">
      <c r="A26" s="7" t="n">
        <v>46084</v>
      </c>
      <c r="B26" s="6" t="s">
        <v>215</v>
      </c>
      <c r="C26" s="6" t="s">
        <v>150</v>
      </c>
      <c r="D26" s="6" t="n">
        <v>1</v>
      </c>
      <c r="E26" s="6" t="n">
        <v>0</v>
      </c>
      <c r="F26" s="6"/>
      <c r="G26" s="6"/>
    </row>
    <row r="27" customFormat="false" ht="23.25" hidden="false" customHeight="true" outlineLevel="0" collapsed="false">
      <c r="A27" s="7" t="n">
        <v>46085</v>
      </c>
      <c r="B27" s="6" t="s">
        <v>222</v>
      </c>
      <c r="C27" s="6" t="s">
        <v>247</v>
      </c>
      <c r="D27" s="6" t="n">
        <v>1</v>
      </c>
      <c r="E27" s="6" t="n">
        <v>1</v>
      </c>
      <c r="F27" s="6"/>
      <c r="G27" s="6" t="s">
        <v>248</v>
      </c>
    </row>
    <row r="28" customFormat="false" ht="23.25" hidden="false" customHeight="true" outlineLevel="0" collapsed="false">
      <c r="A28" s="7" t="n">
        <v>46087</v>
      </c>
      <c r="B28" s="6" t="s">
        <v>243</v>
      </c>
      <c r="C28" s="6" t="s">
        <v>249</v>
      </c>
      <c r="D28" s="6" t="n">
        <v>1</v>
      </c>
      <c r="E28" s="6" t="n">
        <v>1</v>
      </c>
      <c r="F28" s="6"/>
      <c r="G28" s="6" t="s">
        <v>154</v>
      </c>
    </row>
    <row r="29" customFormat="false" ht="15" hidden="false" customHeight="true" outlineLevel="0" collapsed="false">
      <c r="A29" s="7" t="n">
        <v>46088</v>
      </c>
      <c r="B29" s="6" t="s">
        <v>232</v>
      </c>
      <c r="C29" s="6" t="s">
        <v>155</v>
      </c>
      <c r="D29" s="6" t="n">
        <v>1</v>
      </c>
      <c r="E29" s="6" t="n">
        <v>0</v>
      </c>
      <c r="F29" s="6"/>
      <c r="G29" s="6"/>
    </row>
    <row r="30" customFormat="false" ht="34.5" hidden="false" customHeight="true" outlineLevel="0" collapsed="false">
      <c r="A30" s="7" t="n">
        <v>46089</v>
      </c>
      <c r="B30" s="6" t="s">
        <v>209</v>
      </c>
      <c r="C30" s="6" t="s">
        <v>250</v>
      </c>
      <c r="D30" s="6" t="n">
        <v>1</v>
      </c>
      <c r="E30" s="6" t="n">
        <v>2</v>
      </c>
      <c r="F30" s="6"/>
      <c r="G30" s="6" t="s">
        <v>156</v>
      </c>
    </row>
    <row r="31" customFormat="false" ht="15" hidden="false" customHeight="true" outlineLevel="0" collapsed="false">
      <c r="A31" s="7" t="n">
        <v>46090</v>
      </c>
      <c r="B31" s="6" t="s">
        <v>212</v>
      </c>
      <c r="C31" s="6" t="s">
        <v>158</v>
      </c>
      <c r="D31" s="6" t="n">
        <v>0</v>
      </c>
      <c r="E31" s="6" t="n">
        <v>1</v>
      </c>
      <c r="F31" s="6" t="n">
        <v>11</v>
      </c>
      <c r="G31" s="6"/>
    </row>
    <row r="32" customFormat="false" ht="34.5" hidden="false" customHeight="true" outlineLevel="0" collapsed="false">
      <c r="A32" s="7" t="n">
        <v>46091</v>
      </c>
      <c r="B32" s="6" t="s">
        <v>215</v>
      </c>
      <c r="C32" s="6" t="s">
        <v>251</v>
      </c>
      <c r="D32" s="6" t="n">
        <v>1</v>
      </c>
      <c r="E32" s="6" t="n">
        <v>1</v>
      </c>
      <c r="F32" s="6"/>
      <c r="G32" s="6" t="s">
        <v>163</v>
      </c>
    </row>
    <row r="33" customFormat="false" ht="15" hidden="false" customHeight="true" outlineLevel="0" collapsed="false">
      <c r="A33" s="7" t="n">
        <v>46092</v>
      </c>
      <c r="B33" s="6" t="s">
        <v>222</v>
      </c>
      <c r="C33" s="6" t="s">
        <v>252</v>
      </c>
      <c r="D33" s="6" t="n">
        <v>0</v>
      </c>
      <c r="E33" s="6" t="n">
        <v>1</v>
      </c>
      <c r="F33" s="6" t="n">
        <v>34</v>
      </c>
      <c r="G33" s="6" t="s">
        <v>164</v>
      </c>
    </row>
    <row r="34" customFormat="false" ht="45.75" hidden="false" customHeight="true" outlineLevel="0" collapsed="false">
      <c r="A34" s="7" t="n">
        <v>46093</v>
      </c>
      <c r="B34" s="6" t="s">
        <v>224</v>
      </c>
      <c r="C34" s="6" t="s">
        <v>253</v>
      </c>
      <c r="D34" s="6" t="n">
        <v>1</v>
      </c>
      <c r="E34" s="6" t="n">
        <v>2</v>
      </c>
      <c r="F34" s="6"/>
      <c r="G34" s="6" t="s">
        <v>166</v>
      </c>
    </row>
    <row r="36" customFormat="false" ht="15" hidden="false" customHeight="true" outlineLevel="0" collapsed="false">
      <c r="A36" s="8" t="s">
        <v>199</v>
      </c>
      <c r="B36" s="8"/>
      <c r="C36" s="8" t="str">
        <f aca="false">COUNTA(A2:A34)&amp;" contact days"</f>
        <v>33 contact days</v>
      </c>
      <c r="D36" s="8" t="n">
        <f aca="false">SUM(D2:D34)</f>
        <v>54</v>
      </c>
      <c r="E36" s="8" t="n">
        <f aca="false">SUM(E2:E34)</f>
        <v>57</v>
      </c>
      <c r="F36" s="8" t="n">
        <f aca="false">SUM(F2:F34)</f>
        <v>861</v>
      </c>
      <c r="G36" s="8"/>
    </row>
  </sheetData>
  <autoFilter ref="A1:G3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2"/>
    <col collapsed="false" customWidth="true" hidden="false" outlineLevel="0" max="3" min="3" style="1" width="28"/>
    <col collapsed="false" customWidth="true" hidden="false" outlineLevel="0" max="4" min="4" style="1" width="55"/>
    <col collapsed="false" customWidth="true" hidden="false" outlineLevel="0" max="5" min="5" style="1" width="30"/>
    <col collapsed="false" customWidth="true" hidden="false" outlineLevel="0" max="6" min="6" style="1" width="22"/>
    <col collapsed="false" customWidth="true" hidden="false" outlineLevel="0" max="7" min="7" style="1" width="45"/>
    <col collapsed="false" customWidth="true" hidden="false" outlineLevel="0" max="8" min="8" style="1" width="40"/>
    <col collapsed="false" customWidth="true" hidden="false" outlineLevel="0" max="9" min="9" style="1" width="9"/>
    <col collapsed="false" customWidth="true" hidden="false" outlineLevel="0" max="10" min="10" style="1" width="11"/>
    <col collapsed="false" customWidth="true" hidden="false" outlineLevel="0" max="12" min="11" style="1" width="10"/>
    <col collapsed="false" customWidth="true" hidden="false" outlineLevel="0" max="13" min="13" style="1" width="9"/>
  </cols>
  <sheetData>
    <row r="1" customFormat="false" ht="51.75" hidden="false" customHeight="true" outlineLevel="0" collapsed="false">
      <c r="A1" s="5" t="s">
        <v>254</v>
      </c>
      <c r="B1" s="5" t="s">
        <v>255</v>
      </c>
      <c r="C1" s="5" t="s">
        <v>256</v>
      </c>
      <c r="D1" s="5" t="s">
        <v>257</v>
      </c>
      <c r="E1" s="5" t="s">
        <v>258</v>
      </c>
      <c r="F1" s="5" t="s">
        <v>259</v>
      </c>
      <c r="G1" s="5" t="s">
        <v>260</v>
      </c>
      <c r="H1" s="5" t="s">
        <v>261</v>
      </c>
      <c r="I1" s="5" t="s">
        <v>262</v>
      </c>
      <c r="J1" s="5" t="s">
        <v>263</v>
      </c>
      <c r="K1" s="5" t="s">
        <v>264</v>
      </c>
      <c r="L1" s="5" t="s">
        <v>265</v>
      </c>
      <c r="M1" s="5" t="s">
        <v>266</v>
      </c>
    </row>
    <row r="2" customFormat="false" ht="23.25" hidden="false" customHeight="true" outlineLevel="0" collapsed="false">
      <c r="A2" s="6" t="s">
        <v>267</v>
      </c>
      <c r="B2" s="6" t="s">
        <v>268</v>
      </c>
      <c r="C2" s="6" t="s">
        <v>269</v>
      </c>
      <c r="D2" s="6" t="s">
        <v>270</v>
      </c>
      <c r="E2" s="6" t="s">
        <v>271</v>
      </c>
      <c r="F2" s="6" t="s">
        <v>272</v>
      </c>
      <c r="G2" s="6" t="s">
        <v>273</v>
      </c>
      <c r="H2" s="6" t="s">
        <v>274</v>
      </c>
      <c r="I2" s="6" t="s">
        <v>275</v>
      </c>
      <c r="J2" s="6" t="s">
        <v>276</v>
      </c>
      <c r="K2" s="6" t="s">
        <v>277</v>
      </c>
      <c r="L2" s="6" t="s">
        <v>277</v>
      </c>
      <c r="M2" s="6" t="s">
        <v>278</v>
      </c>
    </row>
    <row r="3" customFormat="false" ht="23.25" hidden="false" customHeight="true" outlineLevel="0" collapsed="false">
      <c r="A3" s="6" t="s">
        <v>279</v>
      </c>
      <c r="B3" s="6" t="s">
        <v>280</v>
      </c>
      <c r="C3" s="6" t="s">
        <v>281</v>
      </c>
      <c r="D3" s="6" t="s">
        <v>282</v>
      </c>
      <c r="E3" s="6" t="s">
        <v>283</v>
      </c>
      <c r="F3" s="6" t="s">
        <v>284</v>
      </c>
      <c r="G3" s="6" t="s">
        <v>285</v>
      </c>
      <c r="H3" s="6" t="s">
        <v>286</v>
      </c>
      <c r="I3" s="6" t="s">
        <v>275</v>
      </c>
      <c r="J3" s="6" t="s">
        <v>276</v>
      </c>
      <c r="K3" s="6" t="s">
        <v>278</v>
      </c>
      <c r="L3" s="6" t="s">
        <v>277</v>
      </c>
      <c r="M3" s="6" t="s">
        <v>278</v>
      </c>
    </row>
    <row r="4" customFormat="false" ht="15" hidden="false" customHeight="true" outlineLevel="0" collapsed="false">
      <c r="A4" s="6" t="s">
        <v>287</v>
      </c>
      <c r="B4" s="6" t="s">
        <v>288</v>
      </c>
      <c r="C4" s="6" t="s">
        <v>289</v>
      </c>
      <c r="D4" s="6" t="s">
        <v>290</v>
      </c>
      <c r="E4" s="6" t="s">
        <v>291</v>
      </c>
      <c r="F4" s="6" t="s">
        <v>272</v>
      </c>
      <c r="G4" s="6" t="s">
        <v>292</v>
      </c>
      <c r="H4" s="6" t="s">
        <v>293</v>
      </c>
      <c r="I4" s="6" t="s">
        <v>294</v>
      </c>
      <c r="J4" s="6" t="s">
        <v>276</v>
      </c>
      <c r="K4" s="6" t="s">
        <v>278</v>
      </c>
      <c r="L4" s="6" t="s">
        <v>277</v>
      </c>
      <c r="M4" s="6" t="s">
        <v>278</v>
      </c>
    </row>
    <row r="5" customFormat="false" ht="23.25" hidden="false" customHeight="true" outlineLevel="0" collapsed="false">
      <c r="A5" s="6" t="s">
        <v>295</v>
      </c>
      <c r="B5" s="6" t="s">
        <v>296</v>
      </c>
      <c r="C5" s="6" t="s">
        <v>297</v>
      </c>
      <c r="D5" s="6" t="s">
        <v>298</v>
      </c>
      <c r="E5" s="6" t="s">
        <v>299</v>
      </c>
      <c r="F5" s="6" t="s">
        <v>300</v>
      </c>
      <c r="G5" s="6" t="s">
        <v>301</v>
      </c>
      <c r="H5" s="6" t="s">
        <v>302</v>
      </c>
      <c r="I5" s="6" t="s">
        <v>275</v>
      </c>
      <c r="J5" s="6" t="s">
        <v>276</v>
      </c>
      <c r="K5" s="6" t="s">
        <v>278</v>
      </c>
      <c r="L5" s="6" t="s">
        <v>278</v>
      </c>
      <c r="M5" s="6" t="s">
        <v>278</v>
      </c>
    </row>
    <row r="6" customFormat="false" ht="23.25" hidden="false" customHeight="true" outlineLevel="0" collapsed="false">
      <c r="A6" s="6" t="s">
        <v>303</v>
      </c>
      <c r="B6" s="6" t="s">
        <v>304</v>
      </c>
      <c r="C6" s="6" t="s">
        <v>305</v>
      </c>
      <c r="D6" s="6" t="s">
        <v>306</v>
      </c>
      <c r="E6" s="6" t="s">
        <v>307</v>
      </c>
      <c r="F6" s="6" t="s">
        <v>272</v>
      </c>
      <c r="G6" s="6" t="s">
        <v>308</v>
      </c>
      <c r="H6" s="6" t="s">
        <v>309</v>
      </c>
      <c r="I6" s="6" t="s">
        <v>294</v>
      </c>
      <c r="J6" s="6" t="s">
        <v>276</v>
      </c>
      <c r="K6" s="6" t="s">
        <v>278</v>
      </c>
      <c r="L6" s="6" t="s">
        <v>277</v>
      </c>
      <c r="M6" s="6" t="s">
        <v>278</v>
      </c>
    </row>
    <row r="7" customFormat="false" ht="23.25" hidden="false" customHeight="true" outlineLevel="0" collapsed="false">
      <c r="A7" s="6" t="s">
        <v>310</v>
      </c>
      <c r="B7" s="6" t="s">
        <v>311</v>
      </c>
      <c r="C7" s="6" t="s">
        <v>312</v>
      </c>
      <c r="D7" s="6" t="s">
        <v>313</v>
      </c>
      <c r="E7" s="6" t="s">
        <v>314</v>
      </c>
      <c r="F7" s="6" t="s">
        <v>284</v>
      </c>
      <c r="G7" s="6" t="s">
        <v>315</v>
      </c>
      <c r="H7" s="6" t="s">
        <v>316</v>
      </c>
      <c r="I7" s="6" t="s">
        <v>294</v>
      </c>
      <c r="J7" s="6" t="s">
        <v>276</v>
      </c>
      <c r="K7" s="6" t="s">
        <v>278</v>
      </c>
      <c r="L7" s="6" t="s">
        <v>277</v>
      </c>
      <c r="M7" s="6" t="s">
        <v>278</v>
      </c>
    </row>
    <row r="8" customFormat="false" ht="23.25" hidden="false" customHeight="true" outlineLevel="0" collapsed="false">
      <c r="A8" s="6" t="s">
        <v>317</v>
      </c>
      <c r="B8" s="6" t="s">
        <v>318</v>
      </c>
      <c r="C8" s="6" t="s">
        <v>319</v>
      </c>
      <c r="D8" s="6" t="s">
        <v>320</v>
      </c>
      <c r="E8" s="6" t="s">
        <v>321</v>
      </c>
      <c r="F8" s="6" t="s">
        <v>272</v>
      </c>
      <c r="G8" s="6" t="s">
        <v>322</v>
      </c>
      <c r="H8" s="6" t="s">
        <v>323</v>
      </c>
      <c r="I8" s="6" t="s">
        <v>275</v>
      </c>
      <c r="J8" s="6" t="s">
        <v>276</v>
      </c>
      <c r="K8" s="6" t="s">
        <v>277</v>
      </c>
      <c r="L8" s="6" t="s">
        <v>278</v>
      </c>
      <c r="M8" s="6" t="s">
        <v>278</v>
      </c>
    </row>
    <row r="9" customFormat="false" ht="23.25" hidden="false" customHeight="true" outlineLevel="0" collapsed="false">
      <c r="A9" s="6" t="s">
        <v>324</v>
      </c>
      <c r="B9" s="6" t="s">
        <v>325</v>
      </c>
      <c r="C9" s="6" t="s">
        <v>326</v>
      </c>
      <c r="D9" s="6" t="s">
        <v>327</v>
      </c>
      <c r="E9" s="6" t="s">
        <v>328</v>
      </c>
      <c r="F9" s="6" t="s">
        <v>272</v>
      </c>
      <c r="G9" s="6" t="s">
        <v>329</v>
      </c>
      <c r="H9" s="6" t="s">
        <v>330</v>
      </c>
      <c r="I9" s="6" t="s">
        <v>294</v>
      </c>
      <c r="J9" s="6" t="s">
        <v>276</v>
      </c>
      <c r="K9" s="6" t="s">
        <v>277</v>
      </c>
      <c r="L9" s="6" t="s">
        <v>277</v>
      </c>
      <c r="M9" s="6" t="s">
        <v>278</v>
      </c>
    </row>
    <row r="10" customFormat="false" ht="23.25" hidden="false" customHeight="true" outlineLevel="0" collapsed="false">
      <c r="A10" s="6" t="s">
        <v>331</v>
      </c>
      <c r="B10" s="6" t="s">
        <v>332</v>
      </c>
      <c r="C10" s="6" t="s">
        <v>333</v>
      </c>
      <c r="D10" s="6" t="s">
        <v>334</v>
      </c>
      <c r="E10" s="6" t="s">
        <v>335</v>
      </c>
      <c r="F10" s="6" t="s">
        <v>336</v>
      </c>
      <c r="G10" s="6" t="s">
        <v>337</v>
      </c>
      <c r="H10" s="6" t="s">
        <v>338</v>
      </c>
      <c r="I10" s="6" t="s">
        <v>294</v>
      </c>
      <c r="J10" s="6" t="s">
        <v>276</v>
      </c>
      <c r="K10" s="6" t="s">
        <v>278</v>
      </c>
      <c r="L10" s="6" t="s">
        <v>278</v>
      </c>
      <c r="M10" s="6" t="s">
        <v>278</v>
      </c>
    </row>
    <row r="11" customFormat="false" ht="23.25" hidden="false" customHeight="true" outlineLevel="0" collapsed="false">
      <c r="A11" s="6" t="s">
        <v>339</v>
      </c>
      <c r="B11" s="6" t="s">
        <v>340</v>
      </c>
      <c r="C11" s="6" t="s">
        <v>341</v>
      </c>
      <c r="D11" s="6" t="s">
        <v>342</v>
      </c>
      <c r="E11" s="6" t="s">
        <v>343</v>
      </c>
      <c r="F11" s="6" t="s">
        <v>272</v>
      </c>
      <c r="G11" s="6" t="s">
        <v>344</v>
      </c>
      <c r="H11" s="6" t="s">
        <v>345</v>
      </c>
      <c r="I11" s="6" t="s">
        <v>294</v>
      </c>
      <c r="J11" s="6" t="s">
        <v>276</v>
      </c>
      <c r="K11" s="6" t="s">
        <v>278</v>
      </c>
      <c r="L11" s="6" t="s">
        <v>277</v>
      </c>
      <c r="M11" s="6" t="s">
        <v>278</v>
      </c>
    </row>
    <row r="12" customFormat="false" ht="23.25" hidden="false" customHeight="true" outlineLevel="0" collapsed="false">
      <c r="A12" s="6" t="s">
        <v>346</v>
      </c>
      <c r="B12" s="6" t="s">
        <v>347</v>
      </c>
      <c r="C12" s="6" t="s">
        <v>348</v>
      </c>
      <c r="D12" s="6" t="s">
        <v>349</v>
      </c>
      <c r="E12" s="6" t="s">
        <v>350</v>
      </c>
      <c r="F12" s="6" t="s">
        <v>272</v>
      </c>
      <c r="G12" s="6" t="s">
        <v>351</v>
      </c>
      <c r="H12" s="6" t="s">
        <v>352</v>
      </c>
      <c r="I12" s="6" t="s">
        <v>294</v>
      </c>
      <c r="J12" s="6" t="s">
        <v>276</v>
      </c>
      <c r="K12" s="6" t="s">
        <v>277</v>
      </c>
      <c r="L12" s="6" t="s">
        <v>277</v>
      </c>
      <c r="M12" s="6" t="s">
        <v>278</v>
      </c>
    </row>
    <row r="13" customFormat="false" ht="23.25" hidden="false" customHeight="true" outlineLevel="0" collapsed="false">
      <c r="A13" s="6" t="s">
        <v>353</v>
      </c>
      <c r="B13" s="6" t="s">
        <v>354</v>
      </c>
      <c r="C13" s="6" t="s">
        <v>355</v>
      </c>
      <c r="D13" s="6" t="s">
        <v>356</v>
      </c>
      <c r="E13" s="6" t="s">
        <v>357</v>
      </c>
      <c r="F13" s="6" t="s">
        <v>284</v>
      </c>
      <c r="G13" s="6" t="s">
        <v>358</v>
      </c>
      <c r="H13" s="6" t="s">
        <v>359</v>
      </c>
      <c r="I13" s="6" t="s">
        <v>294</v>
      </c>
      <c r="J13" s="6" t="s">
        <v>276</v>
      </c>
      <c r="K13" s="6" t="s">
        <v>277</v>
      </c>
      <c r="L13" s="6" t="s">
        <v>278</v>
      </c>
      <c r="M13" s="6" t="s">
        <v>278</v>
      </c>
    </row>
    <row r="14" customFormat="false" ht="23.25" hidden="false" customHeight="true" outlineLevel="0" collapsed="false">
      <c r="A14" s="6" t="s">
        <v>360</v>
      </c>
      <c r="B14" s="6" t="s">
        <v>361</v>
      </c>
      <c r="C14" s="6" t="s">
        <v>362</v>
      </c>
      <c r="D14" s="6" t="s">
        <v>363</v>
      </c>
      <c r="E14" s="6" t="s">
        <v>364</v>
      </c>
      <c r="F14" s="6" t="s">
        <v>284</v>
      </c>
      <c r="G14" s="6" t="s">
        <v>365</v>
      </c>
      <c r="H14" s="6" t="s">
        <v>366</v>
      </c>
      <c r="I14" s="6" t="s">
        <v>367</v>
      </c>
      <c r="J14" s="6" t="s">
        <v>276</v>
      </c>
      <c r="K14" s="6" t="s">
        <v>278</v>
      </c>
      <c r="L14" s="6" t="s">
        <v>277</v>
      </c>
      <c r="M14" s="6" t="s">
        <v>278</v>
      </c>
    </row>
    <row r="15" customFormat="false" ht="23.25" hidden="false" customHeight="true" outlineLevel="0" collapsed="false">
      <c r="A15" s="6" t="s">
        <v>368</v>
      </c>
      <c r="B15" s="6" t="s">
        <v>369</v>
      </c>
      <c r="C15" s="6" t="s">
        <v>370</v>
      </c>
      <c r="D15" s="6" t="s">
        <v>371</v>
      </c>
      <c r="E15" s="6" t="s">
        <v>372</v>
      </c>
      <c r="F15" s="6" t="s">
        <v>272</v>
      </c>
      <c r="G15" s="6" t="s">
        <v>373</v>
      </c>
      <c r="H15" s="6" t="s">
        <v>374</v>
      </c>
      <c r="I15" s="6" t="s">
        <v>275</v>
      </c>
      <c r="J15" s="6" t="s">
        <v>276</v>
      </c>
      <c r="K15" s="6" t="s">
        <v>278</v>
      </c>
      <c r="L15" s="6" t="s">
        <v>278</v>
      </c>
      <c r="M15" s="6" t="s">
        <v>278</v>
      </c>
    </row>
    <row r="16" customFormat="false" ht="23.25" hidden="false" customHeight="true" outlineLevel="0" collapsed="false">
      <c r="A16" s="6" t="s">
        <v>375</v>
      </c>
      <c r="B16" s="6" t="s">
        <v>376</v>
      </c>
      <c r="C16" s="6" t="s">
        <v>377</v>
      </c>
      <c r="D16" s="6" t="s">
        <v>378</v>
      </c>
      <c r="E16" s="6" t="s">
        <v>379</v>
      </c>
      <c r="F16" s="6" t="s">
        <v>272</v>
      </c>
      <c r="G16" s="6" t="s">
        <v>380</v>
      </c>
      <c r="H16" s="6" t="s">
        <v>381</v>
      </c>
      <c r="I16" s="6" t="s">
        <v>275</v>
      </c>
      <c r="J16" s="6" t="s">
        <v>276</v>
      </c>
      <c r="K16" s="6" t="s">
        <v>278</v>
      </c>
      <c r="L16" s="6" t="s">
        <v>278</v>
      </c>
      <c r="M16" s="6" t="s">
        <v>278</v>
      </c>
    </row>
    <row r="17" customFormat="false" ht="23.25" hidden="false" customHeight="true" outlineLevel="0" collapsed="false">
      <c r="A17" s="6" t="s">
        <v>382</v>
      </c>
      <c r="B17" s="6" t="s">
        <v>383</v>
      </c>
      <c r="C17" s="6" t="s">
        <v>384</v>
      </c>
      <c r="D17" s="6" t="s">
        <v>385</v>
      </c>
      <c r="E17" s="6" t="s">
        <v>386</v>
      </c>
      <c r="F17" s="6" t="s">
        <v>284</v>
      </c>
      <c r="G17" s="6" t="s">
        <v>387</v>
      </c>
      <c r="H17" s="6" t="s">
        <v>388</v>
      </c>
      <c r="I17" s="6" t="s">
        <v>367</v>
      </c>
      <c r="J17" s="6" t="s">
        <v>276</v>
      </c>
      <c r="K17" s="6" t="s">
        <v>277</v>
      </c>
      <c r="L17" s="6" t="s">
        <v>277</v>
      </c>
      <c r="M17" s="6" t="s">
        <v>278</v>
      </c>
    </row>
    <row r="18" customFormat="false" ht="23.25" hidden="false" customHeight="true" outlineLevel="0" collapsed="false">
      <c r="A18" s="6" t="s">
        <v>389</v>
      </c>
      <c r="B18" s="6" t="s">
        <v>390</v>
      </c>
      <c r="C18" s="6" t="s">
        <v>391</v>
      </c>
      <c r="D18" s="6" t="s">
        <v>392</v>
      </c>
      <c r="E18" s="6" t="s">
        <v>393</v>
      </c>
      <c r="F18" s="6" t="s">
        <v>394</v>
      </c>
      <c r="G18" s="6" t="s">
        <v>395</v>
      </c>
      <c r="H18" s="6" t="s">
        <v>396</v>
      </c>
      <c r="I18" s="6" t="s">
        <v>397</v>
      </c>
      <c r="J18" s="6" t="s">
        <v>276</v>
      </c>
      <c r="K18" s="6" t="s">
        <v>278</v>
      </c>
      <c r="L18" s="6" t="s">
        <v>278</v>
      </c>
      <c r="M18" s="6" t="s">
        <v>277</v>
      </c>
    </row>
    <row r="19" customFormat="false" ht="23.25" hidden="false" customHeight="true" outlineLevel="0" collapsed="false">
      <c r="A19" s="6" t="s">
        <v>398</v>
      </c>
      <c r="B19" s="6" t="s">
        <v>399</v>
      </c>
      <c r="C19" s="6" t="s">
        <v>400</v>
      </c>
      <c r="D19" s="6" t="s">
        <v>401</v>
      </c>
      <c r="E19" s="6" t="s">
        <v>402</v>
      </c>
      <c r="F19" s="6" t="s">
        <v>272</v>
      </c>
      <c r="G19" s="6" t="s">
        <v>403</v>
      </c>
      <c r="H19" s="6" t="s">
        <v>404</v>
      </c>
      <c r="I19" s="6" t="s">
        <v>367</v>
      </c>
      <c r="J19" s="6" t="s">
        <v>276</v>
      </c>
      <c r="K19" s="6" t="s">
        <v>277</v>
      </c>
      <c r="L19" s="6" t="s">
        <v>277</v>
      </c>
      <c r="M19" s="6" t="s">
        <v>278</v>
      </c>
    </row>
    <row r="20" customFormat="false" ht="23.25" hidden="false" customHeight="true" outlineLevel="0" collapsed="false">
      <c r="A20" s="6" t="s">
        <v>405</v>
      </c>
      <c r="B20" s="6" t="s">
        <v>406</v>
      </c>
      <c r="C20" s="6" t="s">
        <v>407</v>
      </c>
      <c r="D20" s="6" t="s">
        <v>408</v>
      </c>
      <c r="E20" s="6" t="s">
        <v>409</v>
      </c>
      <c r="F20" s="6" t="s">
        <v>410</v>
      </c>
      <c r="G20" s="6" t="s">
        <v>411</v>
      </c>
      <c r="H20" s="6" t="s">
        <v>412</v>
      </c>
      <c r="I20" s="6" t="s">
        <v>275</v>
      </c>
      <c r="J20" s="6" t="s">
        <v>276</v>
      </c>
      <c r="K20" s="6" t="s">
        <v>278</v>
      </c>
      <c r="L20" s="6" t="s">
        <v>278</v>
      </c>
      <c r="M20" s="6" t="s">
        <v>277</v>
      </c>
    </row>
    <row r="21" customFormat="false" ht="34.5" hidden="false" customHeight="true" outlineLevel="0" collapsed="false">
      <c r="A21" s="6" t="s">
        <v>413</v>
      </c>
      <c r="B21" s="6" t="s">
        <v>414</v>
      </c>
      <c r="C21" s="6" t="s">
        <v>415</v>
      </c>
      <c r="D21" s="6" t="s">
        <v>416</v>
      </c>
      <c r="E21" s="6" t="s">
        <v>417</v>
      </c>
      <c r="F21" s="6" t="s">
        <v>272</v>
      </c>
      <c r="G21" s="6" t="s">
        <v>418</v>
      </c>
      <c r="H21" s="6" t="s">
        <v>419</v>
      </c>
      <c r="I21" s="6" t="s">
        <v>367</v>
      </c>
      <c r="J21" s="6" t="s">
        <v>276</v>
      </c>
      <c r="K21" s="6" t="s">
        <v>278</v>
      </c>
      <c r="L21" s="6" t="s">
        <v>277</v>
      </c>
      <c r="M21" s="6" t="s">
        <v>278</v>
      </c>
    </row>
    <row r="22" customFormat="false" ht="23.25" hidden="false" customHeight="true" outlineLevel="0" collapsed="false">
      <c r="A22" s="6" t="s">
        <v>420</v>
      </c>
      <c r="B22" s="6" t="s">
        <v>421</v>
      </c>
      <c r="C22" s="6" t="s">
        <v>422</v>
      </c>
      <c r="D22" s="6" t="s">
        <v>423</v>
      </c>
      <c r="E22" s="6" t="s">
        <v>424</v>
      </c>
      <c r="F22" s="6" t="s">
        <v>425</v>
      </c>
      <c r="G22" s="6" t="s">
        <v>426</v>
      </c>
      <c r="H22" s="6" t="s">
        <v>427</v>
      </c>
      <c r="I22" s="6" t="s">
        <v>428</v>
      </c>
      <c r="J22" s="6" t="s">
        <v>276</v>
      </c>
      <c r="K22" s="6" t="s">
        <v>278</v>
      </c>
      <c r="L22" s="6" t="s">
        <v>278</v>
      </c>
      <c r="M22" s="6" t="s">
        <v>277</v>
      </c>
    </row>
  </sheetData>
  <autoFilter ref="A1:M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8"/>
    <col collapsed="false" customWidth="true" hidden="false" outlineLevel="0" max="3" min="3" style="1" width="100"/>
  </cols>
  <sheetData>
    <row r="1" customFormat="false" ht="15" hidden="false" customHeight="true" outlineLevel="0" collapsed="false">
      <c r="A1" s="5" t="s">
        <v>23</v>
      </c>
      <c r="B1" s="5" t="s">
        <v>429</v>
      </c>
      <c r="C1" s="5" t="s">
        <v>28</v>
      </c>
    </row>
    <row r="2" customFormat="false" ht="15" hidden="false" customHeight="true" outlineLevel="0" collapsed="false">
      <c r="A2" s="7" t="n">
        <v>45977</v>
      </c>
      <c r="B2" s="6" t="s">
        <v>68</v>
      </c>
      <c r="C2" s="6" t="s">
        <v>430</v>
      </c>
    </row>
    <row r="3" customFormat="false" ht="15" hidden="false" customHeight="true" outlineLevel="0" collapsed="false">
      <c r="A3" s="7" t="n">
        <v>45977</v>
      </c>
      <c r="B3" s="6" t="s">
        <v>68</v>
      </c>
      <c r="C3" s="6" t="s">
        <v>431</v>
      </c>
    </row>
    <row r="4" customFormat="false" ht="15" hidden="false" customHeight="true" outlineLevel="0" collapsed="false">
      <c r="A4" s="7" t="n">
        <v>45977</v>
      </c>
      <c r="B4" s="6" t="s">
        <v>68</v>
      </c>
      <c r="C4" s="6" t="s">
        <v>432</v>
      </c>
    </row>
    <row r="5" customFormat="false" ht="15" hidden="false" customHeight="true" outlineLevel="0" collapsed="false">
      <c r="A5" s="7" t="n">
        <v>45977</v>
      </c>
      <c r="B5" s="6" t="s">
        <v>68</v>
      </c>
      <c r="C5" s="6" t="s">
        <v>433</v>
      </c>
    </row>
    <row r="6" customFormat="false" ht="15" hidden="false" customHeight="true" outlineLevel="0" collapsed="false">
      <c r="A6" s="7" t="n">
        <v>45978</v>
      </c>
      <c r="B6" s="6" t="s">
        <v>68</v>
      </c>
      <c r="C6" s="6" t="s">
        <v>434</v>
      </c>
    </row>
    <row r="7" customFormat="false" ht="15" hidden="false" customHeight="true" outlineLevel="0" collapsed="false">
      <c r="A7" s="7" t="n">
        <v>45978</v>
      </c>
      <c r="B7" s="6" t="s">
        <v>71</v>
      </c>
      <c r="C7" s="6" t="s">
        <v>435</v>
      </c>
    </row>
    <row r="8" customFormat="false" ht="15" hidden="false" customHeight="true" outlineLevel="0" collapsed="false">
      <c r="A8" s="7" t="n">
        <v>45979</v>
      </c>
      <c r="B8" s="6" t="s">
        <v>68</v>
      </c>
      <c r="C8" s="6" t="s">
        <v>436</v>
      </c>
    </row>
    <row r="9" customFormat="false" ht="15" hidden="false" customHeight="true" outlineLevel="0" collapsed="false">
      <c r="A9" s="7" t="n">
        <v>45985</v>
      </c>
      <c r="B9" s="6" t="s">
        <v>71</v>
      </c>
      <c r="C9" s="6" t="s">
        <v>437</v>
      </c>
    </row>
    <row r="10" customFormat="false" ht="15" hidden="false" customHeight="true" outlineLevel="0" collapsed="false">
      <c r="A10" s="7" t="n">
        <v>45985</v>
      </c>
      <c r="B10" s="6" t="s">
        <v>71</v>
      </c>
      <c r="C10" s="6" t="s">
        <v>438</v>
      </c>
    </row>
    <row r="11" customFormat="false" ht="15" hidden="false" customHeight="true" outlineLevel="0" collapsed="false">
      <c r="A11" s="7" t="n">
        <v>45985</v>
      </c>
      <c r="B11" s="6" t="s">
        <v>71</v>
      </c>
      <c r="C11" s="6" t="s">
        <v>439</v>
      </c>
    </row>
    <row r="12" customFormat="false" ht="15" hidden="false" customHeight="true" outlineLevel="0" collapsed="false">
      <c r="A12" s="7" t="n">
        <v>45985</v>
      </c>
      <c r="B12" s="6" t="s">
        <v>68</v>
      </c>
      <c r="C12" s="6" t="s">
        <v>440</v>
      </c>
    </row>
    <row r="13" customFormat="false" ht="15" hidden="false" customHeight="true" outlineLevel="0" collapsed="false">
      <c r="A13" s="7" t="n">
        <v>45985</v>
      </c>
      <c r="B13" s="6" t="s">
        <v>68</v>
      </c>
      <c r="C13" s="6" t="s">
        <v>441</v>
      </c>
    </row>
    <row r="14" customFormat="false" ht="15" hidden="false" customHeight="true" outlineLevel="0" collapsed="false">
      <c r="A14" s="7" t="n">
        <v>45986</v>
      </c>
      <c r="B14" s="6" t="s">
        <v>68</v>
      </c>
      <c r="C14" s="6" t="s">
        <v>442</v>
      </c>
    </row>
    <row r="15" customFormat="false" ht="15" hidden="false" customHeight="true" outlineLevel="0" collapsed="false">
      <c r="A15" s="7" t="n">
        <v>45986</v>
      </c>
      <c r="B15" s="6" t="s">
        <v>71</v>
      </c>
      <c r="C15" s="6" t="s">
        <v>443</v>
      </c>
    </row>
    <row r="16" customFormat="false" ht="15" hidden="false" customHeight="true" outlineLevel="0" collapsed="false">
      <c r="A16" s="7" t="n">
        <v>45986</v>
      </c>
      <c r="B16" s="6" t="s">
        <v>68</v>
      </c>
      <c r="C16" s="6" t="s">
        <v>444</v>
      </c>
    </row>
    <row r="17" customFormat="false" ht="15" hidden="false" customHeight="true" outlineLevel="0" collapsed="false">
      <c r="A17" s="7" t="n">
        <v>45986</v>
      </c>
      <c r="B17" s="6" t="s">
        <v>68</v>
      </c>
      <c r="C17" s="6" t="s">
        <v>445</v>
      </c>
    </row>
    <row r="18" customFormat="false" ht="15" hidden="false" customHeight="true" outlineLevel="0" collapsed="false">
      <c r="A18" s="7" t="n">
        <v>45986</v>
      </c>
      <c r="B18" s="6" t="s">
        <v>68</v>
      </c>
      <c r="C18" s="6" t="s">
        <v>446</v>
      </c>
    </row>
    <row r="19" customFormat="false" ht="15" hidden="false" customHeight="true" outlineLevel="0" collapsed="false">
      <c r="A19" s="7" t="n">
        <v>45986</v>
      </c>
      <c r="B19" s="6" t="s">
        <v>68</v>
      </c>
      <c r="C19" s="6" t="s">
        <v>447</v>
      </c>
    </row>
    <row r="20" customFormat="false" ht="15" hidden="false" customHeight="true" outlineLevel="0" collapsed="false">
      <c r="A20" s="7" t="n">
        <v>45986</v>
      </c>
      <c r="B20" s="6" t="s">
        <v>71</v>
      </c>
      <c r="C20" s="6" t="s">
        <v>448</v>
      </c>
    </row>
    <row r="21" customFormat="false" ht="15" hidden="false" customHeight="true" outlineLevel="0" collapsed="false">
      <c r="A21" s="7" t="n">
        <v>45986</v>
      </c>
      <c r="B21" s="6" t="s">
        <v>71</v>
      </c>
      <c r="C21" s="6" t="s">
        <v>449</v>
      </c>
    </row>
    <row r="22" customFormat="false" ht="15" hidden="false" customHeight="true" outlineLevel="0" collapsed="false">
      <c r="A22" s="7" t="n">
        <v>45986</v>
      </c>
      <c r="B22" s="6" t="s">
        <v>68</v>
      </c>
      <c r="C22" s="6" t="s">
        <v>450</v>
      </c>
    </row>
    <row r="23" customFormat="false" ht="15" hidden="false" customHeight="true" outlineLevel="0" collapsed="false">
      <c r="A23" s="7" t="n">
        <v>45987</v>
      </c>
      <c r="B23" s="6" t="s">
        <v>68</v>
      </c>
      <c r="C23" s="6" t="s">
        <v>451</v>
      </c>
    </row>
    <row r="24" customFormat="false" ht="15" hidden="false" customHeight="true" outlineLevel="0" collapsed="false">
      <c r="A24" s="7" t="n">
        <v>45992</v>
      </c>
      <c r="B24" s="6" t="s">
        <v>68</v>
      </c>
      <c r="C24" s="6" t="s">
        <v>452</v>
      </c>
    </row>
    <row r="25" customFormat="false" ht="15" hidden="false" customHeight="true" outlineLevel="0" collapsed="false">
      <c r="A25" s="7" t="n">
        <v>45992</v>
      </c>
      <c r="B25" s="6" t="s">
        <v>68</v>
      </c>
      <c r="C25" s="6" t="s">
        <v>453</v>
      </c>
    </row>
    <row r="26" customFormat="false" ht="15" hidden="false" customHeight="true" outlineLevel="0" collapsed="false">
      <c r="A26" s="7" t="n">
        <v>45993</v>
      </c>
      <c r="B26" s="6" t="s">
        <v>68</v>
      </c>
      <c r="C26" s="6" t="s">
        <v>454</v>
      </c>
    </row>
    <row r="27" customFormat="false" ht="15" hidden="false" customHeight="true" outlineLevel="0" collapsed="false">
      <c r="A27" s="7" t="n">
        <v>45994</v>
      </c>
      <c r="B27" s="6" t="s">
        <v>68</v>
      </c>
      <c r="C27" s="6" t="s">
        <v>455</v>
      </c>
    </row>
    <row r="28" customFormat="false" ht="15" hidden="false" customHeight="true" outlineLevel="0" collapsed="false">
      <c r="A28" s="7" t="n">
        <v>45997</v>
      </c>
      <c r="B28" s="6" t="s">
        <v>68</v>
      </c>
      <c r="C28" s="6" t="s">
        <v>456</v>
      </c>
    </row>
    <row r="29" customFormat="false" ht="15" hidden="false" customHeight="true" outlineLevel="0" collapsed="false">
      <c r="A29" s="7" t="n">
        <v>45997</v>
      </c>
      <c r="B29" s="6" t="s">
        <v>68</v>
      </c>
      <c r="C29" s="6" t="s">
        <v>457</v>
      </c>
    </row>
    <row r="30" customFormat="false" ht="15" hidden="false" customHeight="true" outlineLevel="0" collapsed="false">
      <c r="A30" s="7" t="n">
        <v>45998</v>
      </c>
      <c r="B30" s="6" t="s">
        <v>71</v>
      </c>
      <c r="C30" s="6" t="s">
        <v>458</v>
      </c>
    </row>
    <row r="31" customFormat="false" ht="15" hidden="false" customHeight="true" outlineLevel="0" collapsed="false">
      <c r="A31" s="7" t="n">
        <v>45998</v>
      </c>
      <c r="B31" s="6" t="s">
        <v>71</v>
      </c>
      <c r="C31" s="6" t="s">
        <v>459</v>
      </c>
    </row>
    <row r="32" customFormat="false" ht="15" hidden="false" customHeight="true" outlineLevel="0" collapsed="false">
      <c r="A32" s="7" t="n">
        <v>45998</v>
      </c>
      <c r="B32" s="6" t="s">
        <v>68</v>
      </c>
      <c r="C32" s="6" t="s">
        <v>460</v>
      </c>
    </row>
    <row r="33" customFormat="false" ht="15" hidden="false" customHeight="true" outlineLevel="0" collapsed="false">
      <c r="A33" s="7" t="n">
        <v>45999</v>
      </c>
      <c r="B33" s="6" t="s">
        <v>71</v>
      </c>
      <c r="C33" s="6" t="s">
        <v>461</v>
      </c>
    </row>
    <row r="34" customFormat="false" ht="15" hidden="false" customHeight="true" outlineLevel="0" collapsed="false">
      <c r="A34" s="7" t="n">
        <v>45999</v>
      </c>
      <c r="B34" s="6" t="s">
        <v>71</v>
      </c>
      <c r="C34" s="6" t="s">
        <v>462</v>
      </c>
    </row>
    <row r="35" customFormat="false" ht="15" hidden="false" customHeight="true" outlineLevel="0" collapsed="false">
      <c r="A35" s="7" t="n">
        <v>46016</v>
      </c>
      <c r="B35" s="6" t="s">
        <v>71</v>
      </c>
      <c r="C35" s="6" t="s">
        <v>463</v>
      </c>
    </row>
    <row r="36" customFormat="false" ht="15" hidden="false" customHeight="true" outlineLevel="0" collapsed="false">
      <c r="A36" s="7" t="n">
        <v>46022</v>
      </c>
      <c r="B36" s="6" t="s">
        <v>68</v>
      </c>
      <c r="C36" s="6" t="s">
        <v>464</v>
      </c>
    </row>
    <row r="37" customFormat="false" ht="15" hidden="false" customHeight="true" outlineLevel="0" collapsed="false">
      <c r="A37" s="7" t="n">
        <v>46022</v>
      </c>
      <c r="B37" s="6" t="s">
        <v>68</v>
      </c>
      <c r="C37" s="6" t="s">
        <v>465</v>
      </c>
    </row>
    <row r="38" customFormat="false" ht="15" hidden="false" customHeight="true" outlineLevel="0" collapsed="false">
      <c r="A38" s="7" t="n">
        <v>46022</v>
      </c>
      <c r="B38" s="6" t="s">
        <v>71</v>
      </c>
      <c r="C38" s="6" t="s">
        <v>466</v>
      </c>
    </row>
    <row r="39" customFormat="false" ht="15" hidden="false" customHeight="true" outlineLevel="0" collapsed="false">
      <c r="A39" s="7" t="n">
        <v>46023</v>
      </c>
      <c r="B39" s="6" t="s">
        <v>71</v>
      </c>
      <c r="C39" s="6" t="s">
        <v>467</v>
      </c>
    </row>
    <row r="40" customFormat="false" ht="15" hidden="false" customHeight="true" outlineLevel="0" collapsed="false">
      <c r="A40" s="7" t="n">
        <v>46024</v>
      </c>
      <c r="B40" s="6" t="s">
        <v>71</v>
      </c>
      <c r="C40" s="6" t="s">
        <v>468</v>
      </c>
    </row>
    <row r="41" customFormat="false" ht="15" hidden="false" customHeight="true" outlineLevel="0" collapsed="false">
      <c r="A41" s="7" t="n">
        <v>46028</v>
      </c>
      <c r="B41" s="6" t="s">
        <v>71</v>
      </c>
      <c r="C41" s="6" t="s">
        <v>469</v>
      </c>
    </row>
    <row r="42" customFormat="false" ht="15" hidden="false" customHeight="true" outlineLevel="0" collapsed="false">
      <c r="A42" s="7" t="n">
        <v>46083</v>
      </c>
      <c r="B42" s="6" t="s">
        <v>68</v>
      </c>
      <c r="C42" s="6" t="s">
        <v>470</v>
      </c>
    </row>
    <row r="43" customFormat="false" ht="15" hidden="false" customHeight="true" outlineLevel="0" collapsed="false">
      <c r="A43" s="7" t="n">
        <v>46085</v>
      </c>
      <c r="B43" s="6" t="s">
        <v>68</v>
      </c>
      <c r="C43" s="6" t="s">
        <v>471</v>
      </c>
    </row>
    <row r="44" customFormat="false" ht="15" hidden="false" customHeight="true" outlineLevel="0" collapsed="false">
      <c r="A44" s="7" t="n">
        <v>46085</v>
      </c>
      <c r="B44" s="6" t="s">
        <v>68</v>
      </c>
      <c r="C44" s="6" t="s">
        <v>472</v>
      </c>
    </row>
    <row r="45" customFormat="false" ht="15" hidden="false" customHeight="true" outlineLevel="0" collapsed="false">
      <c r="A45" s="7" t="n">
        <v>46087</v>
      </c>
      <c r="B45" s="6" t="s">
        <v>68</v>
      </c>
      <c r="C45" s="6" t="s">
        <v>473</v>
      </c>
    </row>
    <row r="46" customFormat="false" ht="15" hidden="false" customHeight="true" outlineLevel="0" collapsed="false">
      <c r="A46" s="7" t="n">
        <v>46089</v>
      </c>
      <c r="B46" s="6" t="s">
        <v>68</v>
      </c>
      <c r="C46" s="6" t="s">
        <v>474</v>
      </c>
    </row>
    <row r="47" customFormat="false" ht="15" hidden="false" customHeight="true" outlineLevel="0" collapsed="false">
      <c r="A47" s="7" t="n">
        <v>46091</v>
      </c>
      <c r="B47" s="6" t="s">
        <v>68</v>
      </c>
      <c r="C47" s="6" t="s">
        <v>475</v>
      </c>
    </row>
    <row r="48" customFormat="false" ht="15" hidden="false" customHeight="true" outlineLevel="0" collapsed="false">
      <c r="A48" s="7" t="n">
        <v>46092</v>
      </c>
      <c r="B48" s="6" t="s">
        <v>68</v>
      </c>
      <c r="C48" s="6" t="s">
        <v>476</v>
      </c>
    </row>
    <row r="49" customFormat="false" ht="15" hidden="false" customHeight="true" outlineLevel="0" collapsed="false">
      <c r="A49" s="7" t="n">
        <v>46093</v>
      </c>
      <c r="B49" s="6" t="s">
        <v>71</v>
      </c>
      <c r="C49" s="6" t="s">
        <v>477</v>
      </c>
    </row>
    <row r="51" customFormat="false" ht="15" hidden="false" customHeight="true" outlineLevel="0" collapsed="false">
      <c r="A51" s="1" t="s">
        <v>199</v>
      </c>
      <c r="B51" s="1" t="s">
        <v>71</v>
      </c>
      <c r="C51" s="1" t="n">
        <f aca="false">COUNTIF(B2:B49,"🚨")</f>
        <v>17</v>
      </c>
    </row>
    <row r="52" customFormat="false" ht="15" hidden="false" customHeight="true" outlineLevel="0" collapsed="false">
      <c r="B52" s="1" t="s">
        <v>68</v>
      </c>
      <c r="C52" s="1" t="n">
        <f aca="false">COUNTIF(B2:B49,"⚠")</f>
        <v>31</v>
      </c>
    </row>
  </sheetData>
  <autoFilter ref="A1:C4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70"/>
    <col collapsed="false" customWidth="true" hidden="false" outlineLevel="0" max="3" min="3" style="1" width="12"/>
    <col collapsed="false" customWidth="true" hidden="false" outlineLevel="0" max="4" min="4" style="1" width="70"/>
  </cols>
  <sheetData>
    <row r="1" customFormat="false" ht="15" hidden="false" customHeight="true" outlineLevel="0" collapsed="false">
      <c r="A1" s="5" t="s">
        <v>26</v>
      </c>
      <c r="B1" s="5" t="s">
        <v>478</v>
      </c>
      <c r="C1" s="5" t="s">
        <v>479</v>
      </c>
      <c r="D1" s="5" t="s">
        <v>480</v>
      </c>
    </row>
    <row r="2" customFormat="false" ht="23.25" hidden="false" customHeight="true" outlineLevel="0" collapsed="false">
      <c r="A2" s="6" t="s">
        <v>481</v>
      </c>
      <c r="B2" s="6" t="s">
        <v>482</v>
      </c>
      <c r="C2" s="6" t="s">
        <v>483</v>
      </c>
      <c r="D2" s="6" t="s">
        <v>484</v>
      </c>
    </row>
    <row r="3" customFormat="false" ht="23.25" hidden="false" customHeight="true" outlineLevel="0" collapsed="false">
      <c r="A3" s="6" t="s">
        <v>485</v>
      </c>
      <c r="B3" s="6" t="s">
        <v>486</v>
      </c>
      <c r="C3" s="6" t="s">
        <v>487</v>
      </c>
      <c r="D3" s="6" t="s">
        <v>488</v>
      </c>
    </row>
    <row r="4" customFormat="false" ht="15" hidden="false" customHeight="true" outlineLevel="0" collapsed="false">
      <c r="A4" s="6" t="s">
        <v>489</v>
      </c>
      <c r="B4" s="6" t="s">
        <v>490</v>
      </c>
      <c r="C4" s="6" t="s">
        <v>491</v>
      </c>
      <c r="D4" s="6" t="s">
        <v>492</v>
      </c>
    </row>
    <row r="5" customFormat="false" ht="15" hidden="false" customHeight="true" outlineLevel="0" collapsed="false">
      <c r="A5" s="6" t="s">
        <v>493</v>
      </c>
      <c r="B5" s="6" t="s">
        <v>494</v>
      </c>
      <c r="C5" s="6" t="s">
        <v>495</v>
      </c>
      <c r="D5" s="6" t="s">
        <v>496</v>
      </c>
    </row>
    <row r="6" customFormat="false" ht="23.25" hidden="false" customHeight="true" outlineLevel="0" collapsed="false">
      <c r="A6" s="6" t="s">
        <v>497</v>
      </c>
      <c r="B6" s="6" t="s">
        <v>498</v>
      </c>
      <c r="C6" s="6" t="s">
        <v>499</v>
      </c>
      <c r="D6" s="6" t="s">
        <v>500</v>
      </c>
    </row>
    <row r="7" customFormat="false" ht="23.25" hidden="false" customHeight="true" outlineLevel="0" collapsed="false">
      <c r="A7" s="6" t="s">
        <v>501</v>
      </c>
      <c r="B7" s="6" t="s">
        <v>502</v>
      </c>
      <c r="C7" s="6" t="s">
        <v>499</v>
      </c>
      <c r="D7" s="6" t="s">
        <v>503</v>
      </c>
    </row>
    <row r="8" customFormat="false" ht="23.25" hidden="false" customHeight="true" outlineLevel="0" collapsed="false">
      <c r="A8" s="6" t="s">
        <v>504</v>
      </c>
      <c r="B8" s="6" t="s">
        <v>505</v>
      </c>
      <c r="C8" s="6" t="s">
        <v>506</v>
      </c>
      <c r="D8" s="6" t="s">
        <v>507</v>
      </c>
    </row>
    <row r="9" customFormat="false" ht="15" hidden="false" customHeight="true" outlineLevel="0" collapsed="false">
      <c r="A9" s="6" t="s">
        <v>508</v>
      </c>
      <c r="B9" s="6" t="s">
        <v>509</v>
      </c>
      <c r="C9" s="6" t="s">
        <v>510</v>
      </c>
      <c r="D9" s="6" t="s">
        <v>511</v>
      </c>
    </row>
    <row r="10" customFormat="false" ht="34.5" hidden="false" customHeight="true" outlineLevel="0" collapsed="false">
      <c r="A10" s="6" t="s">
        <v>512</v>
      </c>
      <c r="B10" s="6" t="s">
        <v>513</v>
      </c>
      <c r="C10" s="6" t="s">
        <v>514</v>
      </c>
      <c r="D10" s="6" t="s">
        <v>515</v>
      </c>
    </row>
    <row r="11" customFormat="false" ht="15" hidden="false" customHeight="true" outlineLevel="0" collapsed="false">
      <c r="A11" s="6" t="s">
        <v>516</v>
      </c>
      <c r="B11" s="6" t="s">
        <v>517</v>
      </c>
      <c r="C11" s="6" t="s">
        <v>518</v>
      </c>
      <c r="D11" s="6" t="s">
        <v>519</v>
      </c>
    </row>
    <row r="12" customFormat="false" ht="34.5" hidden="false" customHeight="true" outlineLevel="0" collapsed="false">
      <c r="A12" s="6" t="s">
        <v>520</v>
      </c>
      <c r="B12" s="6" t="s">
        <v>521</v>
      </c>
      <c r="C12" s="6" t="s">
        <v>522</v>
      </c>
      <c r="D12" s="6" t="s">
        <v>523</v>
      </c>
    </row>
    <row r="13" customFormat="false" ht="23.25" hidden="false" customHeight="true" outlineLevel="0" collapsed="false">
      <c r="A13" s="6" t="s">
        <v>524</v>
      </c>
      <c r="B13" s="6" t="s">
        <v>525</v>
      </c>
      <c r="C13" s="6" t="s">
        <v>522</v>
      </c>
      <c r="D13" s="6" t="s">
        <v>526</v>
      </c>
    </row>
    <row r="14" customFormat="false" ht="15" hidden="false" customHeight="true" outlineLevel="0" collapsed="false">
      <c r="A14" s="6" t="s">
        <v>527</v>
      </c>
      <c r="B14" s="6" t="s">
        <v>528</v>
      </c>
      <c r="C14" s="6" t="s">
        <v>529</v>
      </c>
      <c r="D14" s="6" t="s">
        <v>530</v>
      </c>
    </row>
    <row r="15" customFormat="false" ht="15" hidden="false" customHeight="true" outlineLevel="0" collapsed="false">
      <c r="A15" s="6" t="s">
        <v>531</v>
      </c>
      <c r="B15" s="6" t="s">
        <v>532</v>
      </c>
      <c r="C15" s="6" t="s">
        <v>533</v>
      </c>
      <c r="D15" s="6" t="s">
        <v>534</v>
      </c>
    </row>
    <row r="16" customFormat="false" ht="15" hidden="false" customHeight="true" outlineLevel="0" collapsed="false">
      <c r="A16" s="6" t="s">
        <v>535</v>
      </c>
      <c r="B16" s="6" t="s">
        <v>536</v>
      </c>
      <c r="C16" s="6" t="s">
        <v>533</v>
      </c>
      <c r="D16" s="6" t="s">
        <v>537</v>
      </c>
    </row>
    <row r="17" customFormat="false" ht="15" hidden="false" customHeight="true" outlineLevel="0" collapsed="false">
      <c r="A17" s="6" t="s">
        <v>538</v>
      </c>
      <c r="B17" s="6" t="s">
        <v>536</v>
      </c>
      <c r="C17" s="6" t="s">
        <v>539</v>
      </c>
      <c r="D17" s="6" t="s">
        <v>540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2026-10-02T08:46:44Z</dcterms:created>
  <dc:creator>openpyxl</dc:creator>
  <dc:description/>
  <dc:language>en-US</dc:language>
  <cp:lastModifiedBy/>
  <dcterms:modified xsi:type="dcterms:W3CDTF">2026-10-02T08:47:52Z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